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ductLearningCoreLogicSprint\"/>
    </mc:Choice>
  </mc:AlternateContent>
  <xr:revisionPtr revIDLastSave="0" documentId="13_ncr:1_{5795F27D-EFFB-419B-B362-8A428CED5CA9}" xr6:coauthVersionLast="47" xr6:coauthVersionMax="47" xr10:uidLastSave="{00000000-0000-0000-0000-000000000000}"/>
  <bookViews>
    <workbookView xWindow="-108" yWindow="-108" windowWidth="23256" windowHeight="12456" xr2:uid="{635A9B82-C029-40DF-92DD-BA6594CC96BD}"/>
  </bookViews>
  <sheets>
    <sheet name="WEB" sheetId="3" r:id="rId1"/>
    <sheet name="Mobile" sheetId="1" r:id="rId2"/>
    <sheet name="Instructions" sheetId="2" r:id="rId3"/>
    <sheet name="Conversion Tables" sheetId="5" r:id="rId4"/>
    <sheet name="To Discus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P5" i="1" s="1"/>
  <c r="M5" i="1"/>
  <c r="J5" i="1"/>
  <c r="J4" i="1"/>
  <c r="M4" i="1" s="1"/>
  <c r="O4" i="1" s="1"/>
  <c r="P4" i="1" s="1"/>
  <c r="J3" i="3"/>
  <c r="M3" i="3" s="1"/>
  <c r="O3" i="3" s="1"/>
  <c r="P3" i="3" s="1"/>
  <c r="J4" i="3"/>
  <c r="M4" i="3" s="1"/>
  <c r="O4" i="3" s="1"/>
  <c r="P4" i="3" s="1"/>
  <c r="J11" i="1"/>
  <c r="M11" i="1" s="1"/>
  <c r="O11" i="1" s="1"/>
  <c r="P11" i="1" s="1"/>
  <c r="J10" i="1"/>
  <c r="M10" i="1" s="1"/>
  <c r="O10" i="1" s="1"/>
  <c r="P10" i="1" s="1"/>
  <c r="J8" i="1"/>
  <c r="M8" i="1" s="1"/>
  <c r="O8" i="1" s="1"/>
  <c r="P8" i="1" s="1"/>
  <c r="J9" i="1"/>
  <c r="M9" i="1" s="1"/>
  <c r="O9" i="1" s="1"/>
  <c r="P9" i="1" s="1"/>
  <c r="J16" i="1"/>
  <c r="M16" i="1" s="1"/>
  <c r="O16" i="1" s="1"/>
  <c r="P16" i="1" s="1"/>
  <c r="J21" i="1"/>
  <c r="M21" i="1" s="1"/>
  <c r="O21" i="1" s="1"/>
  <c r="P21" i="1" s="1"/>
  <c r="J34" i="1"/>
  <c r="M34" i="1" s="1"/>
  <c r="O34" i="1" s="1"/>
  <c r="P34" i="1" s="1"/>
  <c r="J33" i="1"/>
  <c r="M33" i="1" s="1"/>
  <c r="O33" i="1" s="1"/>
  <c r="P33" i="1" s="1"/>
  <c r="J9" i="3"/>
  <c r="M9" i="3" s="1"/>
  <c r="O9" i="3" s="1"/>
  <c r="P9" i="3" s="1"/>
  <c r="J10" i="3"/>
  <c r="M10" i="3" s="1"/>
  <c r="O10" i="3" s="1"/>
  <c r="P10" i="3" s="1"/>
  <c r="J11" i="3"/>
  <c r="M11" i="3" s="1"/>
  <c r="O11" i="3" s="1"/>
  <c r="P11" i="3" s="1"/>
  <c r="J12" i="3"/>
  <c r="M12" i="3" s="1"/>
  <c r="O12" i="3" s="1"/>
  <c r="P12" i="3" s="1"/>
  <c r="J38" i="1"/>
  <c r="M38" i="1" s="1"/>
  <c r="O38" i="1" s="1"/>
  <c r="P38" i="1" s="1"/>
  <c r="J37" i="1"/>
  <c r="M37" i="1" s="1"/>
  <c r="O37" i="1" s="1"/>
  <c r="P37" i="1" s="1"/>
  <c r="J41" i="1"/>
  <c r="M41" i="1" s="1"/>
  <c r="O41" i="1" s="1"/>
  <c r="P41" i="1" s="1"/>
  <c r="J45" i="1"/>
  <c r="M45" i="1" s="1"/>
  <c r="O45" i="1" s="1"/>
  <c r="P45" i="1" s="1"/>
  <c r="J50" i="1"/>
  <c r="M50" i="1" s="1"/>
  <c r="O50" i="1" s="1"/>
  <c r="P50" i="1" s="1"/>
  <c r="J53" i="1"/>
  <c r="M53" i="1" s="1"/>
  <c r="O53" i="1" s="1"/>
  <c r="P53" i="1" s="1"/>
  <c r="J57" i="1"/>
  <c r="M57" i="1" s="1"/>
  <c r="O57" i="1" s="1"/>
  <c r="P57" i="1" s="1"/>
  <c r="P6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tc={A5E22B66-97ED-426E-84D9-0D83BB90FE06}</author>
    <author>tc={DC9F6BB1-5856-4738-BC74-65BF0526E963}</author>
    <author>tc={49C6651F-7CB4-46E1-9940-D58A4DFA45CF}</author>
    <author>tc={5D3D65DF-27AB-47F5-82FF-222D645F9264}</author>
    <author>tc={D441717B-D117-4AEB-82AF-AC0A6347AE28}</author>
    <author>tc={CA340224-2EAC-4DF0-B7EB-5FA6C55B200C}</author>
    <author>tc={2FFF2146-C8AC-4551-85BD-FF1FCB824F17}</author>
    <author>tc={F84AE506-C14E-4A88-942C-9F458B82C57B}</author>
    <author>tc={CCF97584-8059-42CC-B77C-A656DB711856}</author>
    <author>tc={94DFF469-EC24-4E64-86F7-F462A7789D91}</author>
    <author>tc={6D0B0E1A-EE52-4522-AEE3-2A9725AD6A60}</author>
  </authors>
  <commentList>
    <comment ref="E1" authorId="0" shapeId="0" xr:uid="{A5E22B66-97ED-426E-84D9-0D83BB90FE06}">
      <text>
        <t>[Threaded comment]
Your version of Excel allows you to read this threaded comment; however, any edits to it will get removed if the file is opened in a newer version of Excel. Learn more: https://go.microsoft.com/fwlink/?linkid=870924
Comment:
    Scale: 1 through 5
1 = Want, Nonessential
2.5 = Unknown
5 = Need, Essential</t>
      </text>
    </comment>
    <comment ref="F1" authorId="1" shapeId="0" xr:uid="{DC9F6BB1-5856-4738-BC74-65BF0526E963}">
      <text>
        <t>[Threaded comment]
Your version of Excel allows you to read this threaded comment; however, any edits to it will get removed if the file is opened in a newer version of Excel. Learn more: https://go.microsoft.com/fwlink/?linkid=870924
Comment:
    Scale: 1 through 5
1 = Unrealistic, Challenging 
2.5 = Unknown
5 = Possible, Easy</t>
      </text>
    </comment>
    <comment ref="G1" authorId="2" shapeId="0" xr:uid="{49C6651F-7CB4-46E1-9940-D58A4DFA45CF}">
      <text>
        <t>[Threaded comment]
Your version of Excel allows you to read this threaded comment; however, any edits to it will get removed if the file is opened in a newer version of Excel. Learn more: https://go.microsoft.com/fwlink/?linkid=870924
Comment:
    Scale: 1 through 5
1 = Temporary, Impractical
2.5 = Unknown
5 = Long Term, Practical</t>
      </text>
    </comment>
    <comment ref="H1" authorId="3" shapeId="0" xr:uid="{5D3D65DF-27AB-47F5-82FF-222D645F9264}">
      <text>
        <t>[Threaded comment]
Your version of Excel allows you to read this threaded comment; however, any edits to it will get removed if the file is opened in a newer version of Excel. Learn more: https://go.microsoft.com/fwlink/?linkid=870924
Comment:
    Scale: 1 through 5
1 = Rare, Few Users
2.5 = Unknown
5 = Frequent, Many Users</t>
      </text>
    </comment>
    <comment ref="I1" authorId="4" shapeId="0" xr:uid="{D441717B-D117-4AEB-82AF-AC0A6347AE28}">
      <text>
        <t>[Threaded comment]
Your version of Excel allows you to read this threaded comment; however, any edits to it will get removed if the file is opened in a newer version of Excel. Learn more: https://go.microsoft.com/fwlink/?linkid=870924
Comment:
    Scale: 1 through 5
1 = Multiple Alternatives
2.5 = Unknown
5 = No Alternative</t>
      </text>
    </comment>
    <comment ref="J1" authorId="5" shapeId="0" xr:uid="{CA340224-2EAC-4DF0-B7EB-5FA6C55B200C}">
      <text>
        <t>[Threaded comment]
Your version of Excel allows you to read this threaded comment; however, any edits to it will get removed if the file is opened in a newer version of Excel. Learn more: https://go.microsoft.com/fwlink/?linkid=870924
Comment:
    ( C +D +E +F +G ) / 5</t>
      </text>
    </comment>
    <comment ref="K1" authorId="6" shapeId="0" xr:uid="{2FFF2146-C8AC-4551-85BD-FF1FCB824F17}">
      <text>
        <t>[Threaded comment]
Your version of Excel allows you to read this threaded comment; however, any edits to it will get removed if the file is opened in a newer version of Excel. Learn more: https://go.microsoft.com/fwlink/?linkid=870924
Comment:
    Scale: 1 through 5
1 = Minimal Revenue Penalty, Mild Client Pressure/Competitor Landscape
2.5 = Unknown
5 = Severe Revenue Penalty, Intense Client Pressure/Competitor Landscape</t>
      </text>
    </comment>
    <comment ref="L1" authorId="7" shapeId="0" xr:uid="{F84AE506-C14E-4A88-942C-9F458B82C57B}">
      <text>
        <t>[Threaded comment]
Your version of Excel allows you to read this threaded comment; however, any edits to it will get removed if the file is opened in a newer version of Excel. Learn more: https://go.microsoft.com/fwlink/?linkid=870924
Comment:
    Scale: 1 through 5
1 = Low Value, Negligible Opportunities
2.5 = Unknown
5 = High Value, Substantial Opportunities</t>
      </text>
    </comment>
    <comment ref="M1" authorId="8" shapeId="0" xr:uid="{CCF97584-8059-42CC-B77C-A656DB711856}">
      <text>
        <t>[Threaded comment]
Your version of Excel allows you to read this threaded comment; however, any edits to it will get removed if the file is opened in a newer version of Excel. Learn more: https://go.microsoft.com/fwlink/?linkid=870924
Comment:
    ( H + I + J )</t>
      </text>
    </comment>
    <comment ref="N1" authorId="9" shapeId="0" xr:uid="{94DFF469-EC24-4E64-86F7-F462A7789D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Scale: 1 through 5
1 = Quick, Simple
2.5 = Unknown
5 = Lengthy, Challenging
Consideration: Vacations, holidays, ... etc.
</t>
      </text>
    </comment>
    <comment ref="P1" authorId="10" shapeId="0" xr:uid="{6D0B0E1A-EE52-4522-AEE3-2A9725AD6A6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WSJF Score prioritizes work items based on value, urgency, and risk.
( K / L 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tc={4AA4C7AF-0654-4FF2-8CEC-A5C0FABC4AC1}</author>
    <author>tc={43CD3AA8-14B6-40CF-BB71-E497615FB214}</author>
    <author>tc={A66BC005-8E11-4103-A93D-45D668D4470C}</author>
    <author>tc={175AB191-6515-49D8-A703-850226192E3C}</author>
    <author>tc={57F46B01-359D-4B4F-8670-41DD79ECDC6A}</author>
    <author>tc={D3329DDF-7C7C-4941-94F1-AAA73165C77E}</author>
    <author>tc={7A57EB23-397E-4CC9-A2D7-ACE9F7B47EA3}</author>
    <author>tc={DF109885-DF4E-445A-85FC-711C1291B3AA}</author>
    <author>tc={59C43C18-8882-4E73-8371-7F79138D938A}</author>
    <author>tc={45DE4FA3-C3A4-4F7D-B3B8-BED9482B63C8}</author>
    <author>tc={28750C50-631E-4A97-B8E7-E76DE0D29BAA}</author>
    <author>tc={48870ABC-5767-4C00-8DA4-ADA02BA7B3E9}</author>
  </authors>
  <commentList>
    <comment ref="E1" authorId="0" shapeId="0" xr:uid="{4AA4C7AF-0654-4FF2-8CEC-A5C0FABC4AC1}">
      <text>
        <t>[Threaded comment]
Your version of Excel allows you to read this threaded comment; however, any edits to it will get removed if the file is opened in a newer version of Excel. Learn more: https://go.microsoft.com/fwlink/?linkid=870924
Comment:
    Scale: 1 through 5
1 = Want, Nonessential
2.5 = Unknown
5 = Need, Essential</t>
      </text>
    </comment>
    <comment ref="F1" authorId="1" shapeId="0" xr:uid="{43CD3AA8-14B6-40CF-BB71-E497615FB214}">
      <text>
        <t>[Threaded comment]
Your version of Excel allows you to read this threaded comment; however, any edits to it will get removed if the file is opened in a newer version of Excel. Learn more: https://go.microsoft.com/fwlink/?linkid=870924
Comment:
    Scale: 1 through 5
1 = Unrealistic, Challenging 
2.5 = Unknown
5 = Possible, Easy</t>
      </text>
    </comment>
    <comment ref="G1" authorId="2" shapeId="0" xr:uid="{A66BC005-8E11-4103-A93D-45D668D4470C}">
      <text>
        <t>[Threaded comment]
Your version of Excel allows you to read this threaded comment; however, any edits to it will get removed if the file is opened in a newer version of Excel. Learn more: https://go.microsoft.com/fwlink/?linkid=870924
Comment:
    Scale: 1 through 5
1 = Temporary, Impractical
2.5 = Unknown
5 = Long Term, Practical</t>
      </text>
    </comment>
    <comment ref="H1" authorId="3" shapeId="0" xr:uid="{175AB191-6515-49D8-A703-850226192E3C}">
      <text>
        <t>[Threaded comment]
Your version of Excel allows you to read this threaded comment; however, any edits to it will get removed if the file is opened in a newer version of Excel. Learn more: https://go.microsoft.com/fwlink/?linkid=870924
Comment:
    Scale: 1 through 5
1 = Rare, Few Users
2.5 = Unknown
5 = Frequent, Many Users</t>
      </text>
    </comment>
    <comment ref="I1" authorId="4" shapeId="0" xr:uid="{57F46B01-359D-4B4F-8670-41DD79ECDC6A}">
      <text>
        <t>[Threaded comment]
Your version of Excel allows you to read this threaded comment; however, any edits to it will get removed if the file is opened in a newer version of Excel. Learn more: https://go.microsoft.com/fwlink/?linkid=870924
Comment:
    Scale: 1 through 5
1 = Multiple Alternatives
2.5 = Unknown
5 = No Alternative</t>
      </text>
    </comment>
    <comment ref="J1" authorId="5" shapeId="0" xr:uid="{D3329DDF-7C7C-4941-94F1-AAA73165C77E}">
      <text>
        <t>[Threaded comment]
Your version of Excel allows you to read this threaded comment; however, any edits to it will get removed if the file is opened in a newer version of Excel. Learn more: https://go.microsoft.com/fwlink/?linkid=870924
Comment:
    ( C +D +E +F +G ) / 5</t>
      </text>
    </comment>
    <comment ref="K1" authorId="6" shapeId="0" xr:uid="{7A57EB23-397E-4CC9-A2D7-ACE9F7B47EA3}">
      <text>
        <t>[Threaded comment]
Your version of Excel allows you to read this threaded comment; however, any edits to it will get removed if the file is opened in a newer version of Excel. Learn more: https://go.microsoft.com/fwlink/?linkid=870924
Comment:
    Scale: 1 through 5
1 = Minimal Revenue Penalty, Mild Client Pressure/Competitor Landscape
2.5 = Unknown
5 = Severe Revenue Penalty, Intense Client Pressure/Competitor Landscape</t>
      </text>
    </comment>
    <comment ref="L1" authorId="7" shapeId="0" xr:uid="{DF109885-DF4E-445A-85FC-711C1291B3AA}">
      <text>
        <t>[Threaded comment]
Your version of Excel allows you to read this threaded comment; however, any edits to it will get removed if the file is opened in a newer version of Excel. Learn more: https://go.microsoft.com/fwlink/?linkid=870924
Comment:
    Scale: 1 through 5
1 = Low Value, Negligible Opportunities
2.5 = Unknown
5 = High Value, Substantial Opportunities</t>
      </text>
    </comment>
    <comment ref="M1" authorId="8" shapeId="0" xr:uid="{59C43C18-8882-4E73-8371-7F79138D938A}">
      <text>
        <t>[Threaded comment]
Your version of Excel allows you to read this threaded comment; however, any edits to it will get removed if the file is opened in a newer version of Excel. Learn more: https://go.microsoft.com/fwlink/?linkid=870924
Comment:
    ( H + I + J )</t>
      </text>
    </comment>
    <comment ref="N1" authorId="9" shapeId="0" xr:uid="{45DE4FA3-C3A4-4F7D-B3B8-BED9482B63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Scale: 1 through 5
1 = Quick, Simple
2.5 = Unknown
5 = Lengthy, Challenging
Consideration: Vacations, holidays, ... etc.
</t>
      </text>
    </comment>
    <comment ref="O1" authorId="10" shapeId="0" xr:uid="{28750C50-631E-4A97-B8E7-E76DE0D29BA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WSJF Score prioritizes work items based on value, urgency, and risk.
( K / L )</t>
      </text>
    </comment>
    <comment ref="P1" authorId="11" shapeId="0" xr:uid="{48870ABC-5767-4C00-8DA4-ADA02BA7B3E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WSJF Score prioritizes work items based on value, urgency, and risk.
( K / L 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tc={54D18A61-AB38-468A-9FA2-FE174C35BEF7}</author>
    <author>tc={460C410A-D84F-4A65-A907-4D897CFD03F1}</author>
    <author>tc={06F2E8EC-2ACA-4DA3-AEF6-8CBCD88DB46B}</author>
    <author>tc={21ED8ACC-5DED-49BD-9313-FA50CEB676C8}</author>
    <author>tc={92C0F384-EDF7-43E4-8DF5-11EA1CD98142}</author>
    <author>tc={3D857664-CE1E-4734-BAC7-FD22373AC845}</author>
    <author>tc={2DB3944E-FCA8-44B1-91DA-039C5A0B396C}</author>
    <author>tc={8B4A875E-25EF-461B-8508-91A7B5942EC0}</author>
  </authors>
  <commentList>
    <comment ref="C1" authorId="0" shapeId="0" xr:uid="{54D18A61-AB38-468A-9FA2-FE174C35BEF7}">
      <text>
        <t>[Threaded comment]
Your version of Excel allows you to read this threaded comment; however, any edits to it will get removed if the file is opened in a newer version of Excel. Learn more: https://go.microsoft.com/fwlink/?linkid=870924
Comment:
    Scale: 1 through 5
1 = Want, Nonessential
2.5 = Unknown
5 = Need, Essential</t>
      </text>
    </comment>
    <comment ref="D1" authorId="1" shapeId="0" xr:uid="{460C410A-D84F-4A65-A907-4D897CFD03F1}">
      <text>
        <t>[Threaded comment]
Your version of Excel allows you to read this threaded comment; however, any edits to it will get removed if the file is opened in a newer version of Excel. Learn more: https://go.microsoft.com/fwlink/?linkid=870924
Comment:
    Scale: 1 through 5
1 = Unrealistic, Challenging 
2.5 = Unknown
5 = Possible, Easy</t>
      </text>
    </comment>
    <comment ref="E1" authorId="2" shapeId="0" xr:uid="{06F2E8EC-2ACA-4DA3-AEF6-8CBCD88DB46B}">
      <text>
        <t>[Threaded comment]
Your version of Excel allows you to read this threaded comment; however, any edits to it will get removed if the file is opened in a newer version of Excel. Learn more: https://go.microsoft.com/fwlink/?linkid=870924
Comment:
    Scale: 1 through 5
1 = Temporary, Impractical
2.5 = Unknown
5 = Long Term, Practical</t>
      </text>
    </comment>
    <comment ref="F1" authorId="3" shapeId="0" xr:uid="{21ED8ACC-5DED-49BD-9313-FA50CEB676C8}">
      <text>
        <t>[Threaded comment]
Your version of Excel allows you to read this threaded comment; however, any edits to it will get removed if the file is opened in a newer version of Excel. Learn more: https://go.microsoft.com/fwlink/?linkid=870924
Comment:
    Scale: 1 through 5
1 = Rare, Few Users
2.5 = Unknown
5 = Frequent, Many Users</t>
      </text>
    </comment>
    <comment ref="G1" authorId="4" shapeId="0" xr:uid="{92C0F384-EDF7-43E4-8DF5-11EA1CD98142}">
      <text>
        <t>[Threaded comment]
Your version of Excel allows you to read this threaded comment; however, any edits to it will get removed if the file is opened in a newer version of Excel. Learn more: https://go.microsoft.com/fwlink/?linkid=870924
Comment:
    Scale: 1 through 5
1 = Multiple Alternatives
2.5 = Unknown
5 = No Alternative</t>
      </text>
    </comment>
    <comment ref="H1" authorId="5" shapeId="0" xr:uid="{3D857664-CE1E-4734-BAC7-FD22373AC845}">
      <text>
        <t>[Threaded comment]
Your version of Excel allows you to read this threaded comment; however, any edits to it will get removed if the file is opened in a newer version of Excel. Learn more: https://go.microsoft.com/fwlink/?linkid=870924
Comment:
    Scale: 1 through 5
1 = Minimal Revenue Penalty, Mild Client Pressure/Competitor Landscape
2.5 = Unknown
5 = Severe Revenue Penalty, Intense Client Pressure/Competitor Landscape</t>
      </text>
    </comment>
    <comment ref="I1" authorId="6" shapeId="0" xr:uid="{2DB3944E-FCA8-44B1-91DA-039C5A0B396C}">
      <text>
        <t>[Threaded comment]
Your version of Excel allows you to read this threaded comment; however, any edits to it will get removed if the file is opened in a newer version of Excel. Learn more: https://go.microsoft.com/fwlink/?linkid=870924
Comment:
    Scale: 1 through 5
1 = Low Value, Negligible Opportunities
2.5 = Unknown
5 = High Value, Substantial Opportunities</t>
      </text>
    </comment>
    <comment ref="J1" authorId="7" shapeId="0" xr:uid="{8B4A875E-25EF-461B-8508-91A7B5942EC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Scale: 1 through 5
1 = Quick, Simple
2.5 = Unknown
5 = Lengthy, Challenging
Consideration: Vacations, holidays, ... etc.</t>
      </text>
    </comment>
  </commentList>
</comments>
</file>

<file path=xl/sharedStrings.xml><?xml version="1.0" encoding="utf-8"?>
<sst xmlns="http://schemas.openxmlformats.org/spreadsheetml/2006/main" count="265" uniqueCount="190">
  <si>
    <t xml:space="preserve"> 
Work Items (Epics/Stories/Tasks)</t>
  </si>
  <si>
    <t xml:space="preserve"> 
Jira Ticket</t>
  </si>
  <si>
    <t xml:space="preserve">
Sprint Count</t>
  </si>
  <si>
    <t xml:space="preserve">
SPRINT</t>
  </si>
  <si>
    <r>
      <rPr>
        <b/>
        <sz val="11"/>
        <color rgb="FF006100"/>
        <rFont val="Calibri"/>
        <scheme val="minor"/>
      </rPr>
      <t xml:space="preserve"> 
Necessity
</t>
    </r>
    <r>
      <rPr>
        <sz val="8"/>
        <color rgb="FF006100"/>
        <rFont val="Calibri"/>
        <scheme val="minor"/>
      </rPr>
      <t>Want vs Need</t>
    </r>
  </si>
  <si>
    <r>
      <rPr>
        <b/>
        <sz val="11"/>
        <color rgb="FFFFFFFF"/>
        <rFont val="Calibri"/>
        <scheme val="minor"/>
      </rPr>
      <t xml:space="preserve"> 
Feasibility
</t>
    </r>
    <r>
      <rPr>
        <sz val="9"/>
        <color rgb="FFFFFFFF"/>
        <rFont val="Calibri"/>
        <scheme val="minor"/>
      </rPr>
      <t>Unrealistic vs Possible</t>
    </r>
  </si>
  <si>
    <r>
      <rPr>
        <b/>
        <sz val="11"/>
        <color rgb="FF006100"/>
        <rFont val="Calibri"/>
        <scheme val="minor"/>
      </rPr>
      <t xml:space="preserve"> 
Viability
</t>
    </r>
    <r>
      <rPr>
        <sz val="9"/>
        <color rgb="FF006100"/>
        <rFont val="Calibri"/>
        <scheme val="minor"/>
      </rPr>
      <t>Temporary vs Long Term</t>
    </r>
  </si>
  <si>
    <r>
      <rPr>
        <b/>
        <sz val="11"/>
        <color rgb="FF006100"/>
        <rFont val="Calibri"/>
        <scheme val="minor"/>
      </rPr>
      <t xml:space="preserve"> 
Frequency
</t>
    </r>
    <r>
      <rPr>
        <sz val="9"/>
        <color rgb="FF006100"/>
        <rFont val="Calibri"/>
        <scheme val="minor"/>
      </rPr>
      <t>50% Occurrence + 50% #Users Affected</t>
    </r>
  </si>
  <si>
    <r>
      <rPr>
        <b/>
        <sz val="11"/>
        <color rgb="FF006100"/>
        <rFont val="Calibri"/>
        <scheme val="minor"/>
      </rPr>
      <t xml:space="preserve"> 
Alternatives
</t>
    </r>
    <r>
      <rPr>
        <sz val="9"/>
        <color rgb="FF006100"/>
        <rFont val="Calibri"/>
        <scheme val="minor"/>
      </rPr>
      <t>Available workarounds</t>
    </r>
  </si>
  <si>
    <t xml:space="preserve"> 
CUSTOMER VALUE</t>
  </si>
  <si>
    <r>
      <rPr>
        <b/>
        <sz val="12"/>
        <color rgb="FF006100"/>
        <rFont val="Calibri"/>
        <scheme val="minor"/>
      </rPr>
      <t xml:space="preserve"> 
Criticality 
</t>
    </r>
    <r>
      <rPr>
        <sz val="9"/>
        <color rgb="FF006100"/>
        <rFont val="Calibri"/>
        <scheme val="minor"/>
      </rPr>
      <t>How urgently does it need to be addressed?</t>
    </r>
  </si>
  <si>
    <r>
      <rPr>
        <b/>
        <sz val="12"/>
        <color rgb="FF006100"/>
        <rFont val="Calibri"/>
        <scheme val="minor"/>
      </rPr>
      <t xml:space="preserve"> 
Bonus Value
</t>
    </r>
    <r>
      <rPr>
        <sz val="9"/>
        <color rgb="FF006100"/>
        <rFont val="Calibri"/>
        <scheme val="minor"/>
      </rPr>
      <t>How valuable are the extra benefits, if any?</t>
    </r>
  </si>
  <si>
    <t xml:space="preserve"> 
COST OF DELAY</t>
  </si>
  <si>
    <r>
      <rPr>
        <b/>
        <sz val="12"/>
        <color rgb="FFFFFFFF"/>
        <rFont val="Calibri"/>
        <scheme val="minor"/>
      </rPr>
      <t xml:space="preserve"> 
Execution Time
</t>
    </r>
    <r>
      <rPr>
        <sz val="9"/>
        <color rgb="FFFFFFFF"/>
        <rFont val="Calibri"/>
        <scheme val="minor"/>
      </rPr>
      <t>How much time/efforts will it take?</t>
    </r>
  </si>
  <si>
    <r>
      <rPr>
        <b/>
        <sz val="12"/>
        <color rgb="FFED7D31"/>
        <rFont val="Calibri"/>
        <scheme val="minor"/>
      </rPr>
      <t xml:space="preserve"> 
WSJF SCORE
</t>
    </r>
    <r>
      <rPr>
        <sz val="9"/>
        <color rgb="FFED7D31"/>
        <rFont val="Calibri"/>
        <scheme val="minor"/>
      </rPr>
      <t xml:space="preserve">
7.5+ = bypass</t>
    </r>
  </si>
  <si>
    <r>
      <rPr>
        <b/>
        <sz val="12"/>
        <color rgb="FF4472C4"/>
        <rFont val="Calibri"/>
        <scheme val="minor"/>
      </rPr>
      <t xml:space="preserve">
ADJUSTED WSJF SCORE </t>
    </r>
    <r>
      <rPr>
        <sz val="9"/>
        <color rgb="FF4472C4"/>
        <rFont val="Calibri"/>
        <scheme val="minor"/>
      </rPr>
      <t>based on
Sprint Count</t>
    </r>
  </si>
  <si>
    <t>2024-MAY-16 (bi-weekly #328 + others):</t>
  </si>
  <si>
    <t>2024-MAY-14 (bi-weekly #327 + others):</t>
  </si>
  <si>
    <t>WEB-26698</t>
  </si>
  <si>
    <t>2024-MAY-09 (bi-weekly #326 + others):</t>
  </si>
  <si>
    <t>WEB-26679</t>
  </si>
  <si>
    <t>2024-MAY-07 (bi-weekly #325 + others):</t>
  </si>
  <si>
    <t>WEB-26627</t>
  </si>
  <si>
    <t>?</t>
  </si>
  <si>
    <t>Bypassed</t>
  </si>
  <si>
    <t>2024-MAY-02 (bi-weekly #324 + others):</t>
  </si>
  <si>
    <t>WEB-26552</t>
  </si>
  <si>
    <t>2024-APR-30 (bi-weekly #323 + others):</t>
  </si>
  <si>
    <t>WEB-26510</t>
  </si>
  <si>
    <t>Maris - "RoomLevel" Value Display Adjustment</t>
  </si>
  <si>
    <t>WEB-26518</t>
  </si>
  <si>
    <t>2024-APR-25 (bi-weekly #322 + others):</t>
  </si>
  <si>
    <t>WEB-26495</t>
  </si>
  <si>
    <t>2024-APR-23 (bi-weekly #321 + others):</t>
  </si>
  <si>
    <t>WEB-26371</t>
  </si>
  <si>
    <t>Google sync creates multiple duplicate contacts in Prospects CRM</t>
  </si>
  <si>
    <t>WEB-24868</t>
  </si>
  <si>
    <t>2024-APR-18 (bi-weekly #320 + others):</t>
  </si>
  <si>
    <t>WEB-26329</t>
  </si>
  <si>
    <t>2024-APR-16 (bi-weekly #319 + others):</t>
  </si>
  <si>
    <t>WEB-26268</t>
  </si>
  <si>
    <t>2024-APR-11 (bi-weekly #318 + others):</t>
  </si>
  <si>
    <t>WEB-26246</t>
  </si>
  <si>
    <t>2024-APR-09 (bi-weekly #317 + others):</t>
  </si>
  <si>
    <t>WEB-26180</t>
  </si>
  <si>
    <t>2024-APR-04 (bi-weekly #316 + others):</t>
  </si>
  <si>
    <t>WEB-26140</t>
  </si>
  <si>
    <t>Implement option to share the external listing URL</t>
  </si>
  <si>
    <t>MOB-9479</t>
  </si>
  <si>
    <t>2024-APR-02 (bi-weekly #315 + others):</t>
  </si>
  <si>
    <t>WEB-26130</t>
  </si>
  <si>
    <t>2024-MAR-28 (bi-weekly #314 + others):</t>
  </si>
  <si>
    <t>WEB-26116</t>
  </si>
  <si>
    <t>2024-MAR-26 (bi-weekly #313 + others):</t>
  </si>
  <si>
    <t>WEB-26034</t>
  </si>
  <si>
    <t>2024-MAR-21 (bi-weekly #312 + others):</t>
  </si>
  <si>
    <t>WEB-26002</t>
  </si>
  <si>
    <t>2024-MAR-19 (bi-weekly #311 + others):</t>
  </si>
  <si>
    <t>WEB-25932</t>
  </si>
  <si>
    <t>2024-MAR-14 (bi-weekly #310 + others):</t>
  </si>
  <si>
    <t>WEB-25900</t>
  </si>
  <si>
    <t>2024-MAR-12 (bi-weekly #309 + others):</t>
  </si>
  <si>
    <t>WEB-25853</t>
  </si>
  <si>
    <t>Rename rets properties file according to well-known code for collection of boards</t>
  </si>
  <si>
    <t>WEB-23751</t>
  </si>
  <si>
    <t>"My Favorites" and "Saved Search" in the mobile apps are lost because they are reassigned (like the Match! results/searches) when removing a user from a team with option "Reassign to admin"</t>
  </si>
  <si>
    <t>WEB-25840</t>
  </si>
  <si>
    <t>2024-MAR-07 (bi-weekly #308 + others):</t>
  </si>
  <si>
    <t>WEB-25832</t>
  </si>
  <si>
    <t>2024-MAR-05 (bi-weekly #307 + others):</t>
  </si>
  <si>
    <t>2024-FEB-18 to 2024-MAR-02 (includes bi-weekly #303-#306):</t>
  </si>
  <si>
    <t>Bi-weekly Support Discussion (#300, 301, &amp; 302):</t>
  </si>
  <si>
    <t>CRM QA for OREB (Preprod):</t>
  </si>
  <si>
    <t>Outstanding WEB Issues:</t>
  </si>
  <si>
    <t xml:space="preserve">Remove color selection limitation from B&amp;S </t>
  </si>
  <si>
    <t>MOB-9597</t>
  </si>
  <si>
    <t>Sort By Distance when no location selected don't show alert message as Android</t>
  </si>
  <si>
    <t>MOB-7987</t>
  </si>
  <si>
    <t>Create Prototype, Allowing You To Draw MLS Listings AND Parcels</t>
  </si>
  <si>
    <t>MOB-5595</t>
  </si>
  <si>
    <t>Centris Trackers Errors</t>
  </si>
  <si>
    <t>MOB-9600</t>
  </si>
  <si>
    <t>Inconsistent Behavior of Autocomplete When Searching With MLS Area Values</t>
  </si>
  <si>
    <t>MOB-9573</t>
  </si>
  <si>
    <t>MOBILE Sprint - 2024-MAY-06</t>
  </si>
  <si>
    <t>MLS-Client Login UI Seem Slightly Aligned to The Right</t>
  </si>
  <si>
    <t>MOB-9550</t>
  </si>
  <si>
    <t>MOBILE Sprint - 2024-APR-22</t>
  </si>
  <si>
    <t>MLS# Search display the previously searched listing (only on iOS 16.x devices)</t>
  </si>
  <si>
    <t>MOB-9543</t>
  </si>
  <si>
    <t xml:space="preserve">Cannot type more than 8 characters in some location search fields </t>
  </si>
  <si>
    <t>MOB-9514</t>
  </si>
  <si>
    <t>IOS - Smooth the minimize of the keyboard</t>
  </si>
  <si>
    <t>MOB-9492</t>
  </si>
  <si>
    <t>Won't do as per Patrice</t>
  </si>
  <si>
    <t xml:space="preserve">Centris - Price reduction/augmentation tags are displayed inconsistently </t>
  </si>
  <si>
    <t>MOB-9493</t>
  </si>
  <si>
    <t>Discussion w/ Product Team Required</t>
  </si>
  <si>
    <t xml:space="preserve">(Epic) ITSO/RAHB - Display "Suppressed" When SuppressSalesPriceYN=Y </t>
  </si>
  <si>
    <t>MOB-9391</t>
  </si>
  <si>
    <t>MOBILE Sprint - 2024-APR-08</t>
  </si>
  <si>
    <t>Moved up in spreadsheet</t>
  </si>
  <si>
    <t>Centris - Didomi Change</t>
  </si>
  <si>
    <t>MOB-9421</t>
  </si>
  <si>
    <t>MOBILE Sprint - 2024-MAR-25</t>
  </si>
  <si>
    <t>Elements we need to have id's on (to avoid using absolute xpath)</t>
  </si>
  <si>
    <t>MOB-9384 </t>
  </si>
  <si>
    <t>Type</t>
  </si>
  <si>
    <t>Bugs</t>
  </si>
  <si>
    <t>1</t>
  </si>
  <si>
    <t>Resolution is nonessential</t>
  </si>
  <si>
    <t>Resolution is challenging, if not unrealistic</t>
  </si>
  <si>
    <t>Temporary resolution, doesn't address the root cause</t>
  </si>
  <si>
    <t>Low occurrence + low #users affected</t>
  </si>
  <si>
    <t>Multiple workarounds</t>
  </si>
  <si>
    <t>No penalty, no pressure, no time constraint</t>
  </si>
  <si>
    <t>No bonus value/opportunity</t>
  </si>
  <si>
    <t xml:space="preserve">Higher team velocity, high capacity, fully staffed, simple request </t>
  </si>
  <si>
    <t>2.5</t>
  </si>
  <si>
    <t>Unknown</t>
  </si>
  <si>
    <t>Issue is a game stopper</t>
  </si>
  <si>
    <t>Resolution is possible and easy</t>
  </si>
  <si>
    <t>Fixes the issue permanently</t>
  </si>
  <si>
    <t>High occurrence + high #users affected</t>
  </si>
  <si>
    <t>No workaround</t>
  </si>
  <si>
    <t xml:space="preserve">Penalties from multiple factors, high pressure to fix, deadline-driven </t>
  </si>
  <si>
    <t>Multiple bonus values/opportunities</t>
  </si>
  <si>
    <t>Lower team velocity, low capacity, understaffed, sizable request</t>
  </si>
  <si>
    <r>
      <rPr>
        <b/>
        <sz val="11"/>
        <color rgb="FF000000"/>
        <rFont val="Calibri"/>
        <scheme val="minor"/>
      </rPr>
      <t xml:space="preserve">MLS Support
</t>
    </r>
    <r>
      <rPr>
        <sz val="11"/>
        <color rgb="FF000000"/>
        <rFont val="Calibri"/>
        <scheme val="minor"/>
      </rPr>
      <t>(Data &amp; Continuity Changes)</t>
    </r>
  </si>
  <si>
    <t>Low impact, non-critical, non-urgent</t>
  </si>
  <si>
    <t>Unsupported by code/config</t>
  </si>
  <si>
    <t>Addresses the request/issue temporary, doesn't address the root cause</t>
  </si>
  <si>
    <t>5</t>
  </si>
  <si>
    <t>High impact, critical, time-sensitive</t>
  </si>
  <si>
    <t>Supported by existing code/config</t>
  </si>
  <si>
    <t>New Client Implementation</t>
  </si>
  <si>
    <t>Small client, no time constraint, low revenue potential</t>
  </si>
  <si>
    <t>Single-use, custom development, temporary</t>
  </si>
  <si>
    <t>Parallel MLS environment</t>
  </si>
  <si>
    <t>Large client, deadline-driven, high revenue potential</t>
  </si>
  <si>
    <t>Repeatable, template-based, long term</t>
  </si>
  <si>
    <t>All end-users</t>
  </si>
  <si>
    <t>No alternative</t>
  </si>
  <si>
    <t xml:space="preserve">Penalties from multiple factors, high pressure to deliver, deadline-driven </t>
  </si>
  <si>
    <r>
      <rPr>
        <b/>
        <sz val="11"/>
        <color rgb="FF000000"/>
        <rFont val="Calibri"/>
        <scheme val="minor"/>
      </rPr>
      <t xml:space="preserve">Support
</t>
    </r>
    <r>
      <rPr>
        <sz val="11"/>
        <color rgb="FF000000"/>
        <rFont val="Calibri"/>
        <scheme val="minor"/>
      </rPr>
      <t>(End User Support, Stats, CRM Teams, Internal Tools, ... etc.)</t>
    </r>
  </si>
  <si>
    <t>Nonessential, low impact, no time constraint, low revenue loss/potential</t>
  </si>
  <si>
    <t>Unprecedented manual intervention, unsupported by code/config, no existing tools/scripts</t>
  </si>
  <si>
    <t>Temporary, doesn't address the root cause, not supported by code/config, no existing tools/scripts</t>
  </si>
  <si>
    <t>Critical, high impact, deadline-driven, high revenue loss/potential</t>
  </si>
  <si>
    <t>Common manual intervention, supported by existing code/config, existing tools/scripts</t>
  </si>
  <si>
    <t>Permanent, supported by existing code/config, existing tools/scripts</t>
  </si>
  <si>
    <t>Conversion Tables</t>
  </si>
  <si>
    <t>Mobile</t>
  </si>
  <si>
    <t>WEB</t>
  </si>
  <si>
    <t>Story Points</t>
  </si>
  <si>
    <t>WSJF</t>
  </si>
  <si>
    <t>2 to 3</t>
  </si>
  <si>
    <t>4 to 5</t>
  </si>
  <si>
    <t>3 to 4</t>
  </si>
  <si>
    <t>6 to 8</t>
  </si>
  <si>
    <t>5 to 7</t>
  </si>
  <si>
    <t>9 to 12</t>
  </si>
  <si>
    <t>8 to 12</t>
  </si>
  <si>
    <t>9 to 13</t>
  </si>
  <si>
    <t>Jira Tickets</t>
  </si>
  <si>
    <t>Other Topics</t>
  </si>
  <si>
    <t xml:space="preserve">Determine fix w/ MAJ of root cause </t>
  </si>
  <si>
    <r>
      <rPr>
        <b/>
        <sz val="11"/>
        <color rgb="FF000000"/>
        <rFont val="Calibri"/>
        <scheme val="minor"/>
      </rPr>
      <t>Ticket Definition of Ready Presentation</t>
    </r>
    <r>
      <rPr>
        <sz val="11"/>
        <color rgb="FF000000"/>
        <rFont val="Calibri"/>
        <scheme val="minor"/>
      </rPr>
      <t xml:space="preserve"> - To be scheduled on week of May 13th?</t>
    </r>
  </si>
  <si>
    <t>MAJ input required</t>
  </si>
  <si>
    <r>
      <rPr>
        <b/>
        <sz val="11"/>
        <color rgb="FF000000"/>
        <rFont val="Calibri"/>
        <scheme val="minor"/>
      </rPr>
      <t>Centris Meetup</t>
    </r>
    <r>
      <rPr>
        <sz val="11"/>
        <color rgb="FF000000"/>
        <rFont val="Calibri"/>
        <scheme val="minor"/>
      </rPr>
      <t xml:space="preserve"> - To be scheduled on week of ?</t>
    </r>
  </si>
  <si>
    <r>
      <rPr>
        <b/>
        <sz val="11"/>
        <color rgb="FF000000"/>
        <rFont val="Calibri"/>
        <scheme val="minor"/>
      </rPr>
      <t>Postman OIDC Testing Collections</t>
    </r>
    <r>
      <rPr>
        <sz val="11"/>
        <color rgb="FF000000"/>
        <rFont val="Calibri"/>
        <scheme val="minor"/>
      </rPr>
      <t xml:space="preserve"> - Doesn't seem to work anymore (reported by Jonathan)</t>
    </r>
  </si>
  <si>
    <t xml:space="preserve">Determine fix for root cause </t>
  </si>
  <si>
    <r>
      <rPr>
        <b/>
        <sz val="11"/>
        <color rgb="FF000000"/>
        <rFont val="Calibri"/>
        <scheme val="minor"/>
      </rPr>
      <t>NJMLS (Flex) Postman RETS Collection</t>
    </r>
    <r>
      <rPr>
        <sz val="11"/>
        <color rgb="FF000000"/>
        <rFont val="Calibri"/>
        <scheme val="minor"/>
      </rPr>
      <t xml:space="preserve">  - Needs to duplcate some of the RETS collections, because we need to replace something to make it work.</t>
    </r>
  </si>
  <si>
    <t>https://rets-njmls.xmlsweb.com/rets/GetMetadata?Type=METADATA-CLASS</t>
  </si>
  <si>
    <r>
      <rPr>
        <b/>
        <sz val="11"/>
        <color rgb="FF000000"/>
        <rFont val="Calibri"/>
        <scheme val="minor"/>
      </rPr>
      <t>Add Philippe as tester for Centris.ca Android App</t>
    </r>
    <r>
      <rPr>
        <sz val="11"/>
        <color rgb="FF000000"/>
        <rFont val="Calibri"/>
        <scheme val="minor"/>
      </rPr>
      <t xml:space="preserve"> - leblanc.philippe@gmail.com OP-2040 vs WEB-20240 ?</t>
    </r>
  </si>
  <si>
    <t>Ticket not ready as per Rolf</t>
  </si>
  <si>
    <t>Canopy - Listing 4106993 documents incorrectly linked</t>
  </si>
  <si>
    <t>WEB-25644</t>
  </si>
  <si>
    <t>See "to do" in my comment</t>
  </si>
  <si>
    <r>
      <rPr>
        <b/>
        <sz val="11"/>
        <color rgb="FF000000"/>
        <rFont val="Calibri"/>
        <scheme val="minor"/>
      </rPr>
      <t>Remove Bypass privileges</t>
    </r>
    <r>
      <rPr>
        <sz val="11"/>
        <color rgb="FF000000"/>
        <rFont val="Calibri"/>
        <scheme val="minor"/>
      </rPr>
      <t xml:space="preserve"> for most?</t>
    </r>
  </si>
  <si>
    <t>Do we need to import document descriptions from Media?</t>
  </si>
  <si>
    <t>OP-2040</t>
  </si>
  <si>
    <t>We did it for Canopy but might want to do it for the other boards.</t>
  </si>
  <si>
    <t>Reimport desc for older listings from before the fix 3.35</t>
  </si>
  <si>
    <t>WEB-20240</t>
  </si>
  <si>
    <t>see Rolf's comment</t>
  </si>
  <si>
    <t xml:space="preserve">NWMLS - Setup in PREPROD/STAGING k:webview document module </t>
  </si>
  <si>
    <t>WEB-26166</t>
  </si>
  <si>
    <t>WEB Sprint - 2025-May-13</t>
  </si>
  <si>
    <r>
      <rPr>
        <b/>
        <sz val="12"/>
        <color rgb="FFED7D31"/>
        <rFont val="Calibri"/>
        <scheme val="minor"/>
      </rPr>
      <t xml:space="preserve"> 
WSJF SCORE
</t>
    </r>
    <r>
      <rPr>
        <sz val="9"/>
        <color rgb="FFED7D31"/>
        <rFont val="Calibri"/>
        <scheme val="minor"/>
      </rPr>
      <t xml:space="preserve">
9+ = bypass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</si>
</sst>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2"/>
      <color rgb="FF006100"/>
      <name val="Calibri"/>
      <scheme val="minor"/>
    </font>
    <font>
      <u/>
      <sz val="11"/>
      <color theme="10"/>
      <name val="Calibri"/>
      <family val="2"/>
      <scheme val="minor"/>
    </font>
    <font>
      <b/>
      <sz val="12"/>
      <color rgb="FFED7D31"/>
      <name val="Calibri"/>
      <scheme val="minor"/>
    </font>
    <font>
      <b/>
      <sz val="12"/>
      <color rgb="FFED7D31"/>
      <name val="Calibri"/>
      <family val="2"/>
      <scheme val="minor"/>
    </font>
    <font>
      <b/>
      <sz val="11"/>
      <color rgb="FF006100"/>
      <name val="Calibri"/>
      <scheme val="minor"/>
    </font>
    <font>
      <b/>
      <sz val="12"/>
      <color rgb="FFFFFFFF"/>
      <name val="Calibri"/>
      <scheme val="minor"/>
    </font>
    <font>
      <b/>
      <sz val="12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6100"/>
      <name val="Calibri"/>
      <scheme val="minor"/>
    </font>
    <font>
      <b/>
      <sz val="11"/>
      <color rgb="FFFFFFFF"/>
      <name val="Calibri"/>
      <scheme val="minor"/>
    </font>
    <font>
      <sz val="9"/>
      <color rgb="FFFFFFFF"/>
      <name val="Calibri"/>
      <scheme val="minor"/>
    </font>
    <font>
      <b/>
      <sz val="11"/>
      <color rgb="FFFFFFFF"/>
      <name val="Calibri"/>
      <family val="2"/>
      <scheme val="minor"/>
    </font>
    <font>
      <sz val="9"/>
      <color rgb="FF006100"/>
      <name val="Calibri"/>
      <scheme val="minor"/>
    </font>
    <font>
      <sz val="9"/>
      <color rgb="FFED7D31"/>
      <name val="Calibri"/>
      <scheme val="minor"/>
    </font>
    <font>
      <b/>
      <sz val="11"/>
      <color theme="5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strike/>
      <u/>
      <sz val="11"/>
      <color theme="10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u/>
      <sz val="10"/>
      <color theme="10"/>
      <name val="Calibri"/>
      <family val="2"/>
      <scheme val="minor"/>
    </font>
    <font>
      <strike/>
      <sz val="11"/>
      <color theme="1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trike/>
      <sz val="11"/>
      <color theme="5"/>
      <name val="Calibri"/>
      <family val="2"/>
      <scheme val="minor"/>
    </font>
    <font>
      <b/>
      <u/>
      <sz val="10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0"/>
      <color rgb="FF000000"/>
      <name val="Calibri"/>
      <scheme val="minor"/>
    </font>
    <font>
      <b/>
      <strike/>
      <u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theme="4"/>
      <name val="Calibri"/>
      <family val="2"/>
      <scheme val="minor"/>
    </font>
    <font>
      <b/>
      <sz val="12"/>
      <color rgb="FF4472C4"/>
      <name val="Calibri"/>
      <scheme val="minor"/>
    </font>
    <font>
      <sz val="9"/>
      <color rgb="FF4472C4"/>
      <name val="Calibri"/>
      <scheme val="minor"/>
    </font>
    <font>
      <b/>
      <sz val="11"/>
      <color theme="1"/>
      <name val="Calibri"/>
      <family val="2"/>
      <scheme val="minor"/>
    </font>
    <font>
      <b/>
      <sz val="12"/>
      <color rgb="FF4472C4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6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8" fillId="0" borderId="0" applyNumberFormat="0" applyFill="0" applyBorder="0" applyAlignment="0" applyProtection="0"/>
  </cellStyleXfs>
  <cellXfs count="282">
    <xf numFmtId="0" fontId="0" fillId="0" borderId="0" xfId="0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49" fontId="0" fillId="0" borderId="0" xfId="0" applyNumberFormat="1" applyAlignment="1">
      <alignment vertical="center"/>
    </xf>
    <xf numFmtId="0" fontId="18" fillId="5" borderId="27" xfId="1" applyFont="1" applyFill="1" applyBorder="1" applyAlignment="1">
      <alignment horizontal="center" vertical="top" wrapText="1"/>
    </xf>
    <xf numFmtId="0" fontId="5" fillId="2" borderId="27" xfId="1" applyFont="1" applyBorder="1" applyAlignment="1">
      <alignment horizontal="center" vertical="top" wrapText="1"/>
    </xf>
    <xf numFmtId="0" fontId="6" fillId="2" borderId="27" xfId="1" applyFont="1" applyBorder="1" applyAlignment="1">
      <alignment horizontal="center" vertical="top" wrapText="1"/>
    </xf>
    <xf numFmtId="0" fontId="13" fillId="5" borderId="28" xfId="1" applyFont="1" applyFill="1" applyBorder="1" applyAlignment="1">
      <alignment horizontal="center" vertical="top" wrapText="1"/>
    </xf>
    <xf numFmtId="0" fontId="5" fillId="2" borderId="3" xfId="1" applyFont="1" applyBorder="1" applyAlignment="1">
      <alignment horizontal="center" vertical="top" wrapText="1"/>
    </xf>
    <xf numFmtId="49" fontId="0" fillId="0" borderId="7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29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0" fillId="0" borderId="30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2" xfId="0" applyBorder="1" applyAlignment="1">
      <alignment wrapText="1"/>
    </xf>
    <xf numFmtId="0" fontId="0" fillId="8" borderId="6" xfId="0" applyFill="1" applyBorder="1" applyAlignment="1">
      <alignment wrapText="1"/>
    </xf>
    <xf numFmtId="0" fontId="0" fillId="8" borderId="5" xfId="0" applyFill="1" applyBorder="1" applyAlignment="1">
      <alignment wrapText="1"/>
    </xf>
    <xf numFmtId="0" fontId="0" fillId="0" borderId="11" xfId="0" applyBorder="1" applyAlignment="1">
      <alignment vertical="top" wrapText="1"/>
    </xf>
    <xf numFmtId="0" fontId="0" fillId="0" borderId="0" xfId="0" applyAlignment="1">
      <alignment wrapText="1"/>
    </xf>
    <xf numFmtId="0" fontId="0" fillId="7" borderId="6" xfId="0" applyFill="1" applyBorder="1" applyAlignment="1">
      <alignment wrapText="1"/>
    </xf>
    <xf numFmtId="0" fontId="0" fillId="7" borderId="5" xfId="0" applyFill="1" applyBorder="1" applyAlignment="1">
      <alignment wrapTex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0" fillId="7" borderId="7" xfId="0" applyFill="1" applyBorder="1" applyAlignment="1">
      <alignment wrapText="1"/>
    </xf>
    <xf numFmtId="0" fontId="8" fillId="0" borderId="0" xfId="3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6" borderId="19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14" fillId="6" borderId="24" xfId="0" applyFont="1" applyFill="1" applyBorder="1" applyAlignment="1">
      <alignment horizontal="center" vertical="center"/>
    </xf>
    <xf numFmtId="0" fontId="10" fillId="4" borderId="35" xfId="1" applyFont="1" applyFill="1" applyBorder="1" applyAlignment="1">
      <alignment horizontal="center" vertical="top" wrapText="1"/>
    </xf>
    <xf numFmtId="0" fontId="5" fillId="2" borderId="35" xfId="1" applyFont="1" applyBorder="1" applyAlignment="1">
      <alignment horizontal="center" vertical="top" wrapText="1"/>
    </xf>
    <xf numFmtId="0" fontId="29" fillId="4" borderId="13" xfId="0" applyFont="1" applyFill="1" applyBorder="1" applyAlignment="1">
      <alignment horizontal="center" vertical="center"/>
    </xf>
    <xf numFmtId="0" fontId="29" fillId="6" borderId="11" xfId="0" applyFont="1" applyFill="1" applyBorder="1" applyAlignment="1">
      <alignment horizontal="center" vertical="center"/>
    </xf>
    <xf numFmtId="0" fontId="29" fillId="6" borderId="20" xfId="0" applyFont="1" applyFill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31" fillId="4" borderId="13" xfId="0" applyFont="1" applyFill="1" applyBorder="1" applyAlignment="1">
      <alignment horizontal="center" vertical="center"/>
    </xf>
    <xf numFmtId="0" fontId="29" fillId="0" borderId="0" xfId="0" applyFont="1"/>
    <xf numFmtId="0" fontId="14" fillId="9" borderId="39" xfId="0" applyFont="1" applyFill="1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0" fontId="0" fillId="9" borderId="41" xfId="0" applyFill="1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0" fillId="9" borderId="42" xfId="0" applyFill="1" applyBorder="1" applyAlignment="1">
      <alignment horizontal="center" vertical="center"/>
    </xf>
    <xf numFmtId="0" fontId="0" fillId="9" borderId="38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25" fillId="9" borderId="8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25" fillId="9" borderId="5" xfId="0" applyFont="1" applyFill="1" applyBorder="1" applyAlignment="1">
      <alignment horizontal="center" vertical="center"/>
    </xf>
    <xf numFmtId="0" fontId="25" fillId="9" borderId="15" xfId="0" applyFont="1" applyFill="1" applyBorder="1" applyAlignment="1">
      <alignment horizontal="center" vertical="center"/>
    </xf>
    <xf numFmtId="0" fontId="29" fillId="9" borderId="13" xfId="0" applyFont="1" applyFill="1" applyBorder="1" applyAlignment="1">
      <alignment horizontal="center" vertical="center"/>
    </xf>
    <xf numFmtId="0" fontId="25" fillId="9" borderId="17" xfId="0" applyFont="1" applyFill="1" applyBorder="1" applyAlignment="1">
      <alignment horizontal="center" vertical="center"/>
    </xf>
    <xf numFmtId="0" fontId="25" fillId="9" borderId="19" xfId="0" applyFont="1" applyFill="1" applyBorder="1" applyAlignment="1">
      <alignment horizontal="center" vertical="center"/>
    </xf>
    <xf numFmtId="0" fontId="14" fillId="9" borderId="8" xfId="0" applyFon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3" fillId="4" borderId="35" xfId="2" applyFill="1" applyBorder="1" applyAlignment="1">
      <alignment horizontal="center" vertical="top" wrapText="1"/>
    </xf>
    <xf numFmtId="0" fontId="29" fillId="6" borderId="40" xfId="0" applyFont="1" applyFill="1" applyBorder="1" applyAlignment="1">
      <alignment horizontal="center" vertical="center"/>
    </xf>
    <xf numFmtId="0" fontId="29" fillId="6" borderId="38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9" fillId="4" borderId="40" xfId="0" applyFont="1" applyFill="1" applyBorder="1" applyAlignment="1">
      <alignment horizontal="center" vertical="center"/>
    </xf>
    <xf numFmtId="0" fontId="29" fillId="4" borderId="41" xfId="0" applyFont="1" applyFill="1" applyBorder="1" applyAlignment="1">
      <alignment horizontal="center" vertical="center"/>
    </xf>
    <xf numFmtId="0" fontId="29" fillId="4" borderId="42" xfId="0" applyFont="1" applyFill="1" applyBorder="1" applyAlignment="1">
      <alignment horizontal="center" vertical="center"/>
    </xf>
    <xf numFmtId="0" fontId="5" fillId="2" borderId="2" xfId="1" applyFont="1" applyBorder="1" applyAlignment="1">
      <alignment horizontal="center" vertical="top" wrapText="1"/>
    </xf>
    <xf numFmtId="0" fontId="26" fillId="9" borderId="44" xfId="0" applyFont="1" applyFill="1" applyBorder="1"/>
    <xf numFmtId="0" fontId="14" fillId="0" borderId="44" xfId="0" applyFont="1" applyBorder="1"/>
    <xf numFmtId="0" fontId="25" fillId="0" borderId="44" xfId="0" applyFont="1" applyBorder="1"/>
    <xf numFmtId="0" fontId="28" fillId="4" borderId="44" xfId="0" applyFont="1" applyFill="1" applyBorder="1"/>
    <xf numFmtId="0" fontId="26" fillId="9" borderId="45" xfId="0" applyFont="1" applyFill="1" applyBorder="1"/>
    <xf numFmtId="0" fontId="8" fillId="0" borderId="45" xfId="3" applyFill="1" applyBorder="1"/>
    <xf numFmtId="0" fontId="23" fillId="9" borderId="45" xfId="0" applyFont="1" applyFill="1" applyBorder="1"/>
    <xf numFmtId="0" fontId="14" fillId="0" borderId="45" xfId="0" applyFont="1" applyBorder="1"/>
    <xf numFmtId="0" fontId="14" fillId="0" borderId="46" xfId="0" applyFont="1" applyBorder="1"/>
    <xf numFmtId="0" fontId="14" fillId="0" borderId="47" xfId="0" applyFont="1" applyBorder="1"/>
    <xf numFmtId="0" fontId="22" fillId="0" borderId="34" xfId="3" applyFont="1" applyBorder="1" applyAlignment="1">
      <alignment horizontal="center" vertical="center"/>
    </xf>
    <xf numFmtId="0" fontId="27" fillId="4" borderId="34" xfId="3" applyFont="1" applyFill="1" applyBorder="1" applyAlignment="1">
      <alignment horizontal="center" vertical="center"/>
    </xf>
    <xf numFmtId="0" fontId="24" fillId="9" borderId="34" xfId="3" applyFont="1" applyFill="1" applyBorder="1" applyAlignment="1">
      <alignment horizontal="center" vertical="center"/>
    </xf>
    <xf numFmtId="0" fontId="24" fillId="0" borderId="34" xfId="3" applyFont="1" applyBorder="1" applyAlignment="1">
      <alignment horizontal="center" vertical="center"/>
    </xf>
    <xf numFmtId="0" fontId="24" fillId="9" borderId="13" xfId="3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/>
    </xf>
    <xf numFmtId="0" fontId="22" fillId="0" borderId="13" xfId="3" applyFont="1" applyBorder="1" applyAlignment="1">
      <alignment horizontal="center" vertical="center"/>
    </xf>
    <xf numFmtId="0" fontId="22" fillId="9" borderId="13" xfId="3" applyFont="1" applyFill="1" applyBorder="1" applyAlignment="1">
      <alignment horizontal="center" vertical="center"/>
    </xf>
    <xf numFmtId="0" fontId="8" fillId="9" borderId="34" xfId="3" applyFill="1" applyBorder="1" applyAlignment="1">
      <alignment horizontal="center" vertical="center"/>
    </xf>
    <xf numFmtId="0" fontId="8" fillId="0" borderId="34" xfId="3" applyBorder="1" applyAlignment="1">
      <alignment horizontal="center" vertical="center"/>
    </xf>
    <xf numFmtId="0" fontId="8" fillId="0" borderId="13" xfId="3" applyBorder="1" applyAlignment="1">
      <alignment horizontal="center" vertical="center"/>
    </xf>
    <xf numFmtId="0" fontId="8" fillId="9" borderId="13" xfId="3" applyFill="1" applyBorder="1" applyAlignment="1">
      <alignment horizontal="center" vertical="center"/>
    </xf>
    <xf numFmtId="0" fontId="8" fillId="0" borderId="43" xfId="3" applyBorder="1" applyAlignment="1">
      <alignment horizontal="center" vertical="center"/>
    </xf>
    <xf numFmtId="0" fontId="13" fillId="5" borderId="3" xfId="1" applyFont="1" applyFill="1" applyBorder="1" applyAlignment="1">
      <alignment horizontal="center" vertical="top" wrapText="1"/>
    </xf>
    <xf numFmtId="0" fontId="0" fillId="4" borderId="14" xfId="0" applyFill="1" applyBorder="1" applyAlignment="1">
      <alignment horizontal="center" vertical="center"/>
    </xf>
    <xf numFmtId="0" fontId="29" fillId="4" borderId="14" xfId="0" applyFont="1" applyFill="1" applyBorder="1" applyAlignment="1">
      <alignment horizontal="center" vertical="center"/>
    </xf>
    <xf numFmtId="0" fontId="5" fillId="2" borderId="53" xfId="1" applyFont="1" applyBorder="1" applyAlignment="1">
      <alignment horizontal="center" vertical="top" wrapText="1"/>
    </xf>
    <xf numFmtId="0" fontId="5" fillId="2" borderId="54" xfId="1" applyFont="1" applyBorder="1" applyAlignment="1">
      <alignment horizontal="center" vertical="top" wrapText="1"/>
    </xf>
    <xf numFmtId="0" fontId="6" fillId="2" borderId="55" xfId="1" applyFont="1" applyBorder="1" applyAlignment="1">
      <alignment horizontal="center" vertical="top" wrapText="1"/>
    </xf>
    <xf numFmtId="0" fontId="6" fillId="2" borderId="54" xfId="1" applyFont="1" applyBorder="1" applyAlignment="1">
      <alignment horizontal="center" vertical="top" wrapText="1"/>
    </xf>
    <xf numFmtId="0" fontId="9" fillId="4" borderId="35" xfId="1" applyFont="1" applyFill="1" applyBorder="1" applyAlignment="1">
      <alignment horizontal="center" vertical="top" wrapText="1"/>
    </xf>
    <xf numFmtId="0" fontId="36" fillId="9" borderId="49" xfId="3" applyFont="1" applyFill="1" applyBorder="1" applyAlignment="1">
      <alignment horizontal="center" vertical="center"/>
    </xf>
    <xf numFmtId="0" fontId="36" fillId="0" borderId="49" xfId="3" applyFont="1" applyBorder="1" applyAlignment="1">
      <alignment horizontal="center" vertical="center"/>
    </xf>
    <xf numFmtId="0" fontId="35" fillId="0" borderId="49" xfId="3" applyFont="1" applyBorder="1" applyAlignment="1">
      <alignment horizontal="center" vertical="center"/>
    </xf>
    <xf numFmtId="0" fontId="38" fillId="9" borderId="49" xfId="3" applyFont="1" applyFill="1" applyBorder="1" applyAlignment="1">
      <alignment horizontal="center" vertical="center"/>
    </xf>
    <xf numFmtId="0" fontId="38" fillId="0" borderId="49" xfId="3" applyFont="1" applyBorder="1" applyAlignment="1">
      <alignment horizontal="center" vertical="center"/>
    </xf>
    <xf numFmtId="0" fontId="38" fillId="9" borderId="32" xfId="3" applyFont="1" applyFill="1" applyBorder="1" applyAlignment="1">
      <alignment horizontal="center" vertical="center"/>
    </xf>
    <xf numFmtId="0" fontId="35" fillId="0" borderId="32" xfId="3" applyFont="1" applyBorder="1" applyAlignment="1">
      <alignment horizontal="center" vertical="center"/>
    </xf>
    <xf numFmtId="0" fontId="36" fillId="9" borderId="32" xfId="3" applyFont="1" applyFill="1" applyBorder="1" applyAlignment="1">
      <alignment horizontal="center" vertical="center"/>
    </xf>
    <xf numFmtId="0" fontId="35" fillId="9" borderId="32" xfId="3" applyFont="1" applyFill="1" applyBorder="1" applyAlignment="1">
      <alignment horizontal="center" vertical="center"/>
    </xf>
    <xf numFmtId="0" fontId="36" fillId="0" borderId="32" xfId="3" applyFont="1" applyBorder="1" applyAlignment="1">
      <alignment horizontal="center" vertical="center"/>
    </xf>
    <xf numFmtId="0" fontId="36" fillId="0" borderId="50" xfId="3" applyFont="1" applyBorder="1" applyAlignment="1">
      <alignment horizontal="center" vertical="center"/>
    </xf>
    <xf numFmtId="0" fontId="31" fillId="9" borderId="13" xfId="0" applyFont="1" applyFill="1" applyBorder="1" applyAlignment="1">
      <alignment horizontal="center" vertical="center"/>
    </xf>
    <xf numFmtId="0" fontId="28" fillId="0" borderId="48" xfId="0" applyFont="1" applyBorder="1"/>
    <xf numFmtId="0" fontId="30" fillId="0" borderId="37" xfId="3" applyFont="1" applyFill="1" applyBorder="1"/>
    <xf numFmtId="0" fontId="28" fillId="0" borderId="10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38" fillId="9" borderId="49" xfId="0" applyFont="1" applyFill="1" applyBorder="1" applyAlignment="1">
      <alignment horizontal="center" vertical="top"/>
    </xf>
    <xf numFmtId="0" fontId="40" fillId="0" borderId="49" xfId="0" applyFont="1" applyBorder="1" applyAlignment="1">
      <alignment horizontal="center" vertical="top"/>
    </xf>
    <xf numFmtId="0" fontId="41" fillId="9" borderId="49" xfId="0" applyFont="1" applyFill="1" applyBorder="1" applyAlignment="1">
      <alignment horizontal="center" vertical="top"/>
    </xf>
    <xf numFmtId="0" fontId="35" fillId="0" borderId="49" xfId="0" applyFont="1" applyBorder="1" applyAlignment="1">
      <alignment horizontal="center" vertical="top"/>
    </xf>
    <xf numFmtId="0" fontId="38" fillId="0" borderId="49" xfId="0" applyFont="1" applyBorder="1" applyAlignment="1">
      <alignment horizontal="center" vertical="top"/>
    </xf>
    <xf numFmtId="0" fontId="39" fillId="4" borderId="49" xfId="0" applyFont="1" applyFill="1" applyBorder="1" applyAlignment="1">
      <alignment horizontal="center" vertical="top"/>
    </xf>
    <xf numFmtId="0" fontId="38" fillId="9" borderId="32" xfId="0" applyFont="1" applyFill="1" applyBorder="1" applyAlignment="1">
      <alignment horizontal="center" vertical="top"/>
    </xf>
    <xf numFmtId="0" fontId="36" fillId="0" borderId="32" xfId="3" applyFont="1" applyFill="1" applyBorder="1" applyAlignment="1">
      <alignment horizontal="center" vertical="top"/>
    </xf>
    <xf numFmtId="0" fontId="35" fillId="9" borderId="32" xfId="0" applyFont="1" applyFill="1" applyBorder="1" applyAlignment="1">
      <alignment horizontal="center" vertical="top"/>
    </xf>
    <xf numFmtId="0" fontId="35" fillId="0" borderId="32" xfId="0" applyFont="1" applyBorder="1" applyAlignment="1">
      <alignment horizontal="center" vertical="top"/>
    </xf>
    <xf numFmtId="0" fontId="35" fillId="0" borderId="51" xfId="0" applyFont="1" applyBorder="1" applyAlignment="1">
      <alignment horizontal="center" vertical="top"/>
    </xf>
    <xf numFmtId="0" fontId="35" fillId="0" borderId="50" xfId="0" applyFont="1" applyBorder="1" applyAlignment="1">
      <alignment horizontal="center" vertical="top"/>
    </xf>
    <xf numFmtId="0" fontId="39" fillId="0" borderId="52" xfId="0" applyFont="1" applyBorder="1" applyAlignment="1">
      <alignment horizontal="center" vertical="top"/>
    </xf>
    <xf numFmtId="0" fontId="39" fillId="0" borderId="52" xfId="3" applyFont="1" applyFill="1" applyBorder="1" applyAlignment="1">
      <alignment horizontal="center"/>
    </xf>
    <xf numFmtId="0" fontId="42" fillId="4" borderId="4" xfId="1" applyFont="1" applyFill="1" applyBorder="1" applyAlignment="1">
      <alignment horizontal="center" vertical="top" wrapText="1"/>
    </xf>
    <xf numFmtId="0" fontId="43" fillId="4" borderId="35" xfId="1" applyFont="1" applyFill="1" applyBorder="1" applyAlignment="1">
      <alignment horizontal="center" vertical="top" wrapText="1"/>
    </xf>
    <xf numFmtId="0" fontId="22" fillId="0" borderId="37" xfId="3" applyFont="1" applyBorder="1" applyAlignment="1">
      <alignment horizontal="center" vertical="center"/>
    </xf>
    <xf numFmtId="0" fontId="39" fillId="4" borderId="49" xfId="3" applyFont="1" applyFill="1" applyBorder="1" applyAlignment="1">
      <alignment horizontal="center" vertical="center"/>
    </xf>
    <xf numFmtId="0" fontId="22" fillId="0" borderId="21" xfId="3" applyFont="1" applyBorder="1" applyAlignment="1">
      <alignment horizontal="center" vertical="center"/>
    </xf>
    <xf numFmtId="0" fontId="23" fillId="9" borderId="44" xfId="0" applyFont="1" applyFill="1" applyBorder="1"/>
    <xf numFmtId="0" fontId="35" fillId="9" borderId="49" xfId="0" applyFont="1" applyFill="1" applyBorder="1" applyAlignment="1">
      <alignment horizontal="center" vertical="top"/>
    </xf>
    <xf numFmtId="0" fontId="27" fillId="4" borderId="43" xfId="3" applyFont="1" applyFill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46" fillId="4" borderId="35" xfId="1" applyFont="1" applyFill="1" applyBorder="1" applyAlignment="1">
      <alignment horizontal="center" vertical="top" wrapText="1"/>
    </xf>
    <xf numFmtId="0" fontId="14" fillId="0" borderId="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6" borderId="19" xfId="0" applyFont="1" applyFill="1" applyBorder="1" applyAlignment="1">
      <alignment horizontal="center" vertical="center"/>
    </xf>
    <xf numFmtId="0" fontId="8" fillId="0" borderId="45" xfId="3" applyBorder="1"/>
    <xf numFmtId="0" fontId="36" fillId="0" borderId="32" xfId="3" applyFont="1" applyBorder="1" applyAlignment="1">
      <alignment horizontal="center" vertical="top"/>
    </xf>
    <xf numFmtId="0" fontId="35" fillId="0" borderId="51" xfId="3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6" borderId="26" xfId="0" applyFont="1" applyFill="1" applyBorder="1" applyAlignment="1">
      <alignment horizontal="center" vertical="center"/>
    </xf>
    <xf numFmtId="0" fontId="30" fillId="0" borderId="37" xfId="3" applyFont="1" applyBorder="1"/>
    <xf numFmtId="0" fontId="39" fillId="0" borderId="52" xfId="3" applyFont="1" applyBorder="1" applyAlignment="1">
      <alignment horizontal="center"/>
    </xf>
    <xf numFmtId="0" fontId="47" fillId="10" borderId="60" xfId="3" applyFont="1" applyFill="1" applyBorder="1" applyAlignment="1">
      <alignment horizontal="center" vertical="center"/>
    </xf>
    <xf numFmtId="0" fontId="47" fillId="10" borderId="60" xfId="0" applyFont="1" applyFill="1" applyBorder="1" applyAlignment="1">
      <alignment horizontal="center" vertical="top"/>
    </xf>
    <xf numFmtId="0" fontId="48" fillId="10" borderId="59" xfId="0" applyFont="1" applyFill="1" applyBorder="1"/>
    <xf numFmtId="0" fontId="47" fillId="10" borderId="56" xfId="3" applyFont="1" applyFill="1" applyBorder="1" applyAlignment="1">
      <alignment horizontal="center" vertical="center"/>
    </xf>
    <xf numFmtId="0" fontId="48" fillId="10" borderId="61" xfId="0" applyFont="1" applyFill="1" applyBorder="1" applyAlignment="1">
      <alignment horizontal="center" vertical="center"/>
    </xf>
    <xf numFmtId="0" fontId="4" fillId="10" borderId="62" xfId="0" applyFont="1" applyFill="1" applyBorder="1" applyAlignment="1">
      <alignment horizontal="center" vertical="center"/>
    </xf>
    <xf numFmtId="0" fontId="4" fillId="10" borderId="63" xfId="0" applyFont="1" applyFill="1" applyBorder="1" applyAlignment="1">
      <alignment horizontal="center" vertical="center"/>
    </xf>
    <xf numFmtId="0" fontId="4" fillId="10" borderId="56" xfId="0" applyFont="1" applyFill="1" applyBorder="1" applyAlignment="1">
      <alignment horizontal="center" vertical="center"/>
    </xf>
    <xf numFmtId="0" fontId="4" fillId="10" borderId="64" xfId="0" applyFont="1" applyFill="1" applyBorder="1" applyAlignment="1">
      <alignment horizontal="center" vertical="center"/>
    </xf>
    <xf numFmtId="0" fontId="4" fillId="10" borderId="65" xfId="0" applyFont="1" applyFill="1" applyBorder="1" applyAlignment="1">
      <alignment horizontal="center" vertical="center"/>
    </xf>
    <xf numFmtId="0" fontId="8" fillId="0" borderId="5" xfId="3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36" xfId="0" applyBorder="1"/>
    <xf numFmtId="0" fontId="8" fillId="0" borderId="6" xfId="3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vertical="center"/>
    </xf>
    <xf numFmtId="0" fontId="4" fillId="9" borderId="35" xfId="0" applyFont="1" applyFill="1" applyBorder="1" applyAlignment="1">
      <alignment horizontal="center"/>
    </xf>
    <xf numFmtId="0" fontId="0" fillId="4" borderId="8" xfId="0" applyFill="1" applyBorder="1"/>
    <xf numFmtId="0" fontId="8" fillId="4" borderId="5" xfId="3" applyFill="1" applyBorder="1" applyAlignment="1">
      <alignment horizontal="center" vertical="center"/>
    </xf>
    <xf numFmtId="0" fontId="0" fillId="4" borderId="9" xfId="0" applyFill="1" applyBorder="1"/>
    <xf numFmtId="0" fontId="0" fillId="4" borderId="13" xfId="0" applyFill="1" applyBorder="1"/>
    <xf numFmtId="0" fontId="37" fillId="4" borderId="13" xfId="0" applyFont="1" applyFill="1" applyBorder="1"/>
    <xf numFmtId="0" fontId="37" fillId="0" borderId="13" xfId="0" applyFont="1" applyBorder="1"/>
    <xf numFmtId="0" fontId="35" fillId="0" borderId="50" xfId="3" applyFont="1" applyBorder="1" applyAlignment="1">
      <alignment horizontal="center" vertical="center"/>
    </xf>
    <xf numFmtId="0" fontId="14" fillId="0" borderId="66" xfId="0" applyFont="1" applyBorder="1" applyAlignment="1">
      <alignment horizontal="center" vertical="center"/>
    </xf>
    <xf numFmtId="0" fontId="0" fillId="6" borderId="67" xfId="0" applyFill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4" borderId="43" xfId="0" applyFill="1" applyBorder="1" applyAlignment="1">
      <alignment horizontal="center" vertical="center"/>
    </xf>
    <xf numFmtId="0" fontId="22" fillId="0" borderId="49" xfId="3" applyFont="1" applyBorder="1" applyAlignment="1">
      <alignment horizontal="center" vertical="center"/>
    </xf>
    <xf numFmtId="0" fontId="8" fillId="9" borderId="49" xfId="3" applyFill="1" applyBorder="1" applyAlignment="1">
      <alignment horizontal="center" vertical="center"/>
    </xf>
    <xf numFmtId="0" fontId="8" fillId="0" borderId="49" xfId="3" applyBorder="1" applyAlignment="1">
      <alignment horizontal="center" vertical="center"/>
    </xf>
    <xf numFmtId="0" fontId="27" fillId="4" borderId="49" xfId="3" applyFont="1" applyFill="1" applyBorder="1" applyAlignment="1">
      <alignment horizontal="center" vertical="center"/>
    </xf>
    <xf numFmtId="0" fontId="48" fillId="10" borderId="48" xfId="0" applyFont="1" applyFill="1" applyBorder="1"/>
    <xf numFmtId="0" fontId="14" fillId="0" borderId="33" xfId="0" applyFont="1" applyBorder="1"/>
    <xf numFmtId="0" fontId="48" fillId="10" borderId="56" xfId="0" applyFont="1" applyFill="1" applyBorder="1"/>
    <xf numFmtId="0" fontId="14" fillId="0" borderId="34" xfId="0" applyFont="1" applyBorder="1"/>
    <xf numFmtId="0" fontId="23" fillId="9" borderId="34" xfId="0" applyFont="1" applyFill="1" applyBorder="1"/>
    <xf numFmtId="0" fontId="28" fillId="4" borderId="34" xfId="0" applyFont="1" applyFill="1" applyBorder="1"/>
    <xf numFmtId="0" fontId="14" fillId="0" borderId="37" xfId="0" applyFont="1" applyBorder="1"/>
    <xf numFmtId="0" fontId="0" fillId="11" borderId="0" xfId="0" applyFill="1"/>
    <xf numFmtId="0" fontId="27" fillId="4" borderId="13" xfId="3" applyFont="1" applyFill="1" applyBorder="1" applyAlignment="1">
      <alignment horizontal="center"/>
    </xf>
    <xf numFmtId="0" fontId="5" fillId="2" borderId="4" xfId="1" applyFont="1" applyBorder="1" applyAlignment="1">
      <alignment horizontal="center" vertical="top" wrapText="1"/>
    </xf>
    <xf numFmtId="0" fontId="22" fillId="0" borderId="50" xfId="3" applyFont="1" applyBorder="1" applyAlignment="1">
      <alignment horizontal="center" vertical="center"/>
    </xf>
    <xf numFmtId="0" fontId="14" fillId="0" borderId="13" xfId="0" applyFont="1" applyBorder="1"/>
    <xf numFmtId="0" fontId="8" fillId="0" borderId="50" xfId="3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8" fillId="0" borderId="32" xfId="3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68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16" fontId="0" fillId="0" borderId="13" xfId="0" applyNumberFormat="1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12" borderId="2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4" borderId="23" xfId="0" applyFill="1" applyBorder="1"/>
    <xf numFmtId="0" fontId="8" fillId="4" borderId="24" xfId="3" applyFill="1" applyBorder="1" applyAlignment="1">
      <alignment horizontal="center" vertical="center"/>
    </xf>
    <xf numFmtId="0" fontId="0" fillId="4" borderId="29" xfId="0" applyFill="1" applyBorder="1"/>
    <xf numFmtId="0" fontId="8" fillId="0" borderId="5" xfId="3" applyFill="1" applyBorder="1" applyAlignment="1">
      <alignment horizontal="center" vertical="center"/>
    </xf>
    <xf numFmtId="0" fontId="0" fillId="0" borderId="23" xfId="0" applyBorder="1"/>
    <xf numFmtId="0" fontId="8" fillId="0" borderId="24" xfId="3" applyFill="1" applyBorder="1" applyAlignment="1">
      <alignment horizontal="center" vertical="center"/>
    </xf>
    <xf numFmtId="0" fontId="0" fillId="0" borderId="29" xfId="0" applyBorder="1"/>
    <xf numFmtId="0" fontId="0" fillId="4" borderId="10" xfId="0" applyFill="1" applyBorder="1"/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/>
    <xf numFmtId="0" fontId="14" fillId="0" borderId="43" xfId="0" applyFont="1" applyBorder="1"/>
    <xf numFmtId="0" fontId="14" fillId="0" borderId="21" xfId="0" applyFont="1" applyBorder="1"/>
    <xf numFmtId="0" fontId="8" fillId="0" borderId="50" xfId="3" applyFill="1" applyBorder="1" applyAlignment="1">
      <alignment horizontal="center" vertical="center"/>
    </xf>
    <xf numFmtId="0" fontId="35" fillId="0" borderId="50" xfId="3" applyFont="1" applyFill="1" applyBorder="1" applyAlignment="1">
      <alignment horizontal="center" vertical="center"/>
    </xf>
    <xf numFmtId="0" fontId="8" fillId="0" borderId="32" xfId="3" applyFill="1" applyBorder="1" applyAlignment="1">
      <alignment horizontal="center" vertical="center"/>
    </xf>
    <xf numFmtId="0" fontId="35" fillId="0" borderId="32" xfId="3" applyFont="1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3" fillId="0" borderId="3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5" fillId="10" borderId="53" xfId="0" applyFont="1" applyFill="1" applyBorder="1" applyAlignment="1">
      <alignment horizontal="center"/>
    </xf>
    <xf numFmtId="0" fontId="45" fillId="10" borderId="28" xfId="0" applyFont="1" applyFill="1" applyBorder="1" applyAlignment="1">
      <alignment horizontal="center"/>
    </xf>
    <xf numFmtId="0" fontId="49" fillId="0" borderId="0" xfId="0" applyFont="1" applyAlignment="1">
      <alignment horizontal="center" vertical="center"/>
    </xf>
    <xf numFmtId="0" fontId="4" fillId="10" borderId="2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/>
    </xf>
    <xf numFmtId="0" fontId="37" fillId="0" borderId="21" xfId="0" applyFont="1" applyBorder="1" applyAlignment="1">
      <alignment wrapText="1"/>
    </xf>
    <xf numFmtId="0" fontId="37" fillId="0" borderId="34" xfId="0" applyFont="1" applyBorder="1" applyAlignment="1">
      <alignment wrapText="1"/>
    </xf>
  </cellXfs>
  <cellStyles count="4">
    <cellStyle name="Calculation" xfId="2" builtinId="22"/>
    <cellStyle name="Good" xfId="1" builtinId="26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76200</xdr:colOff>
      <xdr:row>0</xdr:row>
      <xdr:rowOff>57150</xdr:rowOff>
    </xdr:from>
    <xdr:to>
      <xdr:col>19</xdr:col>
      <xdr:colOff>314325</xdr:colOff>
      <xdr:row>0</xdr:row>
      <xdr:rowOff>895350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2B7B0D-9241-41C0-BAC0-371681B8B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16375" y="57150"/>
          <a:ext cx="1838325" cy="838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76200</xdr:colOff>
      <xdr:row>0</xdr:row>
      <xdr:rowOff>57150</xdr:rowOff>
    </xdr:from>
    <xdr:to>
      <xdr:col>19</xdr:col>
      <xdr:colOff>314325</xdr:colOff>
      <xdr:row>0</xdr:row>
      <xdr:rowOff>895350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BBFC7389-19E1-3E26-8AE1-303F14269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06550" y="57150"/>
          <a:ext cx="1838325" cy="8382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educ, Marie-Christine" id="{700D0D0B-8666-43E9-8139-8BAB7C68A89A}" userId="S::mleduc@corelogic.com::b9a4ef71-344b-4ab7-9f93-18103afc7c3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4-02-09T16:03:38.33" personId="{700D0D0B-8666-43E9-8139-8BAB7C68A89A}" id="{A5E22B66-97ED-426E-84D9-0D83BB90FE06}">
    <text>Scale: 1 through 5
1 = Want, Nonessential
2.5 = Unknown
5 = Need, Essential</text>
  </threadedComment>
  <threadedComment ref="F1" dT="2024-02-09T16:04:14.98" personId="{700D0D0B-8666-43E9-8139-8BAB7C68A89A}" id="{DC9F6BB1-5856-4738-BC74-65BF0526E963}">
    <text>Scale: 1 through 5
1 = Unrealistic, Challenging 
2.5 = Unknown
5 = Possible, Easy</text>
  </threadedComment>
  <threadedComment ref="G1" dT="2024-02-09T16:06:52.77" personId="{700D0D0B-8666-43E9-8139-8BAB7C68A89A}" id="{49C6651F-7CB4-46E1-9940-D58A4DFA45CF}">
    <text>Scale: 1 through 5
1 = Temporary, Impractical
2.5 = Unknown
5 = Long Term, Practical</text>
  </threadedComment>
  <threadedComment ref="H1" dT="2024-02-09T16:08:25.63" personId="{700D0D0B-8666-43E9-8139-8BAB7C68A89A}" id="{5D3D65DF-27AB-47F5-82FF-222D645F9264}">
    <text>Scale: 1 through 5
1 = Rare, Few Users
2.5 = Unknown
5 = Frequent, Many Users</text>
  </threadedComment>
  <threadedComment ref="I1" dT="2024-02-09T16:09:03.32" personId="{700D0D0B-8666-43E9-8139-8BAB7C68A89A}" id="{D441717B-D117-4AEB-82AF-AC0A6347AE28}">
    <text>Scale: 1 through 5
1 = Multiple Alternatives
2.5 = Unknown
5 = No Alternative</text>
  </threadedComment>
  <threadedComment ref="J1" dT="2024-02-09T20:31:15.37" personId="{700D0D0B-8666-43E9-8139-8BAB7C68A89A}" id="{CA340224-2EAC-4DF0-B7EB-5FA6C55B200C}">
    <text>( C +D +E +F +G ) / 5</text>
  </threadedComment>
  <threadedComment ref="K1" dT="2024-02-09T16:10:23.44" personId="{700D0D0B-8666-43E9-8139-8BAB7C68A89A}" id="{2FFF2146-C8AC-4551-85BD-FF1FCB824F17}">
    <text>Scale: 1 through 5
1 = Minimal Revenue Penalty, Mild Client Pressure/Competitor Landscape
2.5 = Unknown
5 = Severe Revenue Penalty, Intense Client Pressure/Competitor Landscape</text>
  </threadedComment>
  <threadedComment ref="L1" dT="2024-02-09T16:21:18.01" personId="{700D0D0B-8666-43E9-8139-8BAB7C68A89A}" id="{F84AE506-C14E-4A88-942C-9F458B82C57B}">
    <text>Scale: 1 through 5
1 = Low Value, Negligible Opportunities
2.5 = Unknown
5 = High Value, Substantial Opportunities</text>
  </threadedComment>
  <threadedComment ref="M1" dT="2024-02-09T20:30:39.70" personId="{700D0D0B-8666-43E9-8139-8BAB7C68A89A}" id="{CCF97584-8059-42CC-B77C-A656DB711856}">
    <text>( H + I + J )</text>
  </threadedComment>
  <threadedComment ref="N1" dT="2024-02-09T16:25:54.30" personId="{700D0D0B-8666-43E9-8139-8BAB7C68A89A}" id="{94DFF469-EC24-4E64-86F7-F462A7789D91}">
    <text xml:space="preserve">Scale: 1 through 5
1 = Quick, Simple
2.5 = Unknown
5 = Lengthy, Challenging
Consideration: Vacations, holidays, ... etc.
</text>
  </threadedComment>
  <threadedComment ref="P1" dT="2024-02-09T20:28:52.04" personId="{700D0D0B-8666-43E9-8139-8BAB7C68A89A}" id="{6D0B0E1A-EE52-4522-AEE3-2A9725AD6A60}">
    <text>The WSJF Score prioritizes work items based on value, urgency, and risk.
( K / L 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4-02-09T16:03:38.33" personId="{700D0D0B-8666-43E9-8139-8BAB7C68A89A}" id="{4AA4C7AF-0654-4FF2-8CEC-A5C0FABC4AC1}">
    <text>Scale: 1 through 5
1 = Want, Nonessential
2.5 = Unknown
5 = Need, Essential</text>
  </threadedComment>
  <threadedComment ref="F1" dT="2024-02-09T16:04:14.98" personId="{700D0D0B-8666-43E9-8139-8BAB7C68A89A}" id="{43CD3AA8-14B6-40CF-BB71-E497615FB214}">
    <text>Scale: 1 through 5
1 = Unrealistic, Challenging 
2.5 = Unknown
5 = Possible, Easy</text>
  </threadedComment>
  <threadedComment ref="G1" dT="2024-02-09T16:06:52.77" personId="{700D0D0B-8666-43E9-8139-8BAB7C68A89A}" id="{A66BC005-8E11-4103-A93D-45D668D4470C}">
    <text>Scale: 1 through 5
1 = Temporary, Impractical
2.5 = Unknown
5 = Long Term, Practical</text>
  </threadedComment>
  <threadedComment ref="H1" dT="2024-02-09T16:08:25.63" personId="{700D0D0B-8666-43E9-8139-8BAB7C68A89A}" id="{175AB191-6515-49D8-A703-850226192E3C}">
    <text>Scale: 1 through 5
1 = Rare, Few Users
2.5 = Unknown
5 = Frequent, Many Users</text>
  </threadedComment>
  <threadedComment ref="I1" dT="2024-02-09T16:09:03.32" personId="{700D0D0B-8666-43E9-8139-8BAB7C68A89A}" id="{57F46B01-359D-4B4F-8670-41DD79ECDC6A}">
    <text>Scale: 1 through 5
1 = Multiple Alternatives
2.5 = Unknown
5 = No Alternative</text>
  </threadedComment>
  <threadedComment ref="J1" dT="2024-02-09T20:31:15.37" personId="{700D0D0B-8666-43E9-8139-8BAB7C68A89A}" id="{D3329DDF-7C7C-4941-94F1-AAA73165C77E}">
    <text>( C +D +E +F +G ) / 5</text>
  </threadedComment>
  <threadedComment ref="K1" dT="2024-02-09T16:10:23.44" personId="{700D0D0B-8666-43E9-8139-8BAB7C68A89A}" id="{7A57EB23-397E-4CC9-A2D7-ACE9F7B47EA3}">
    <text>Scale: 1 through 5
1 = Minimal Revenue Penalty, Mild Client Pressure/Competitor Landscape
2.5 = Unknown
5 = Severe Revenue Penalty, Intense Client Pressure/Competitor Landscape</text>
  </threadedComment>
  <threadedComment ref="L1" dT="2024-02-09T16:21:18.01" personId="{700D0D0B-8666-43E9-8139-8BAB7C68A89A}" id="{DF109885-DF4E-445A-85FC-711C1291B3AA}">
    <text>Scale: 1 through 5
1 = Low Value, Negligible Opportunities
2.5 = Unknown
5 = High Value, Substantial Opportunities</text>
  </threadedComment>
  <threadedComment ref="M1" dT="2024-02-09T20:30:39.70" personId="{700D0D0B-8666-43E9-8139-8BAB7C68A89A}" id="{59C43C18-8882-4E73-8371-7F79138D938A}">
    <text>( H + I + J )</text>
  </threadedComment>
  <threadedComment ref="N1" dT="2024-02-09T16:25:54.30" personId="{700D0D0B-8666-43E9-8139-8BAB7C68A89A}" id="{45DE4FA3-C3A4-4F7D-B3B8-BED9482B63C8}">
    <text xml:space="preserve">Scale: 1 through 5
1 = Quick, Simple
2.5 = Unknown
5 = Lengthy, Challenging
Consideration: Vacations, holidays, ... etc.
</text>
  </threadedComment>
  <threadedComment ref="O1" dT="2024-02-09T20:28:52.04" personId="{700D0D0B-8666-43E9-8139-8BAB7C68A89A}" id="{28750C50-631E-4A97-B8E7-E76DE0D29BAA}">
    <text>The WSJF Score prioritizes work items based on value, urgency, and risk.
( K / L )</text>
  </threadedComment>
  <threadedComment ref="P1" dT="2024-02-09T20:28:52.04" personId="{700D0D0B-8666-43E9-8139-8BAB7C68A89A}" id="{48870ABC-5767-4C00-8DA4-ADA02BA7B3E9}">
    <text>The WSJF Score prioritizes work items based on value, urgency, and risk.
( K / L 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" dT="2024-02-09T16:03:38.33" personId="{700D0D0B-8666-43E9-8139-8BAB7C68A89A}" id="{54D18A61-AB38-468A-9FA2-FE174C35BEF7}">
    <text>Scale: 1 through 5
1 = Want, Nonessential
2.5 = Unknown
5 = Need, Essential</text>
  </threadedComment>
  <threadedComment ref="D1" dT="2024-02-09T16:04:14.98" personId="{700D0D0B-8666-43E9-8139-8BAB7C68A89A}" id="{460C410A-D84F-4A65-A907-4D897CFD03F1}">
    <text>Scale: 1 through 5
1 = Unrealistic, Challenging 
2.5 = Unknown
5 = Possible, Easy</text>
  </threadedComment>
  <threadedComment ref="E1" dT="2024-02-09T16:06:52.77" personId="{700D0D0B-8666-43E9-8139-8BAB7C68A89A}" id="{06F2E8EC-2ACA-4DA3-AEF6-8CBCD88DB46B}">
    <text>Scale: 1 through 5
1 = Temporary, Impractical
2.5 = Unknown
5 = Long Term, Practical</text>
  </threadedComment>
  <threadedComment ref="F1" dT="2024-02-09T16:08:25.63" personId="{700D0D0B-8666-43E9-8139-8BAB7C68A89A}" id="{21ED8ACC-5DED-49BD-9313-FA50CEB676C8}">
    <text>Scale: 1 through 5
1 = Rare, Few Users
2.5 = Unknown
5 = Frequent, Many Users</text>
  </threadedComment>
  <threadedComment ref="G1" dT="2024-02-09T16:09:03.32" personId="{700D0D0B-8666-43E9-8139-8BAB7C68A89A}" id="{92C0F384-EDF7-43E4-8DF5-11EA1CD98142}">
    <text>Scale: 1 through 5
1 = Multiple Alternatives
2.5 = Unknown
5 = No Alternative</text>
  </threadedComment>
  <threadedComment ref="H1" dT="2024-02-09T16:10:23.44" personId="{700D0D0B-8666-43E9-8139-8BAB7C68A89A}" id="{3D857664-CE1E-4734-BAC7-FD22373AC845}">
    <text>Scale: 1 through 5
1 = Minimal Revenue Penalty, Mild Client Pressure/Competitor Landscape
2.5 = Unknown
5 = Severe Revenue Penalty, Intense Client Pressure/Competitor Landscape</text>
  </threadedComment>
  <threadedComment ref="I1" dT="2024-02-09T16:21:18.01" personId="{700D0D0B-8666-43E9-8139-8BAB7C68A89A}" id="{2DB3944E-FCA8-44B1-91DA-039C5A0B396C}">
    <text>Scale: 1 through 5
1 = Low Value, Negligible Opportunities
2.5 = Unknown
5 = High Value, Substantial Opportunities</text>
  </threadedComment>
  <threadedComment ref="J1" dT="2024-02-09T16:25:54.30" personId="{700D0D0B-8666-43E9-8139-8BAB7C68A89A}" id="{8B4A875E-25EF-461B-8508-91A7B5942EC0}">
    <text>Scale: 1 through 5
1 = Quick, Simple
2.5 = Unknown
5 = Lengthy, Challenging
Consideration: Vacations, holidays, ... etc.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prospects.atlassian.net/browse/MOB-9479" TargetMode="External"/><Relationship Id="rId18" Type="http://schemas.openxmlformats.org/officeDocument/2006/relationships/hyperlink" Target="https://prospects.atlassian.net/browse/MOB-9493" TargetMode="External"/><Relationship Id="rId26" Type="http://schemas.openxmlformats.org/officeDocument/2006/relationships/hyperlink" Target="https://prospects.atlassian.net/browse/WEB-26552" TargetMode="External"/><Relationship Id="rId39" Type="http://schemas.openxmlformats.org/officeDocument/2006/relationships/comments" Target="../comments2.xml"/><Relationship Id="rId21" Type="http://schemas.openxmlformats.org/officeDocument/2006/relationships/hyperlink" Target="https://prospects.atlassian.net/browse/WEB-26329" TargetMode="External"/><Relationship Id="rId34" Type="http://schemas.openxmlformats.org/officeDocument/2006/relationships/hyperlink" Target="https://prospects.atlassian.net/browse/MOB-5595" TargetMode="External"/><Relationship Id="rId7" Type="http://schemas.openxmlformats.org/officeDocument/2006/relationships/hyperlink" Target="https://prospects.atlassian.net/browse/WEB-26034" TargetMode="External"/><Relationship Id="rId12" Type="http://schemas.openxmlformats.org/officeDocument/2006/relationships/hyperlink" Target="https://prospects.atlassian.net/browse/WEB-26140" TargetMode="External"/><Relationship Id="rId17" Type="http://schemas.openxmlformats.org/officeDocument/2006/relationships/hyperlink" Target="https://prospects.atlassian.net/browse/MOB-9492" TargetMode="External"/><Relationship Id="rId25" Type="http://schemas.openxmlformats.org/officeDocument/2006/relationships/hyperlink" Target="https://prospects.atlassian.net/browse/MOB-9514" TargetMode="External"/><Relationship Id="rId33" Type="http://schemas.openxmlformats.org/officeDocument/2006/relationships/hyperlink" Target="https://prospects.atlassian.net/browse/MOB-7987" TargetMode="External"/><Relationship Id="rId38" Type="http://schemas.openxmlformats.org/officeDocument/2006/relationships/vmlDrawing" Target="../drawings/vmlDrawing2.vml"/><Relationship Id="rId2" Type="http://schemas.openxmlformats.org/officeDocument/2006/relationships/hyperlink" Target="https://prospects.atlassian.net/browse/WEB-25853" TargetMode="External"/><Relationship Id="rId16" Type="http://schemas.openxmlformats.org/officeDocument/2006/relationships/hyperlink" Target="https://prospects.atlassian.net/browse/WEB-26246" TargetMode="External"/><Relationship Id="rId20" Type="http://schemas.openxmlformats.org/officeDocument/2006/relationships/hyperlink" Target="https://prospects.atlassian.net/browse/MOB-9543" TargetMode="External"/><Relationship Id="rId29" Type="http://schemas.openxmlformats.org/officeDocument/2006/relationships/hyperlink" Target="https://prospects.atlassian.net/browse/MOB-9573" TargetMode="External"/><Relationship Id="rId1" Type="http://schemas.openxmlformats.org/officeDocument/2006/relationships/hyperlink" Target="https://prospects.atlassian.net/browse/WEB-25832" TargetMode="External"/><Relationship Id="rId6" Type="http://schemas.openxmlformats.org/officeDocument/2006/relationships/hyperlink" Target="https://prospects.atlassian.net/browse/MOB-9384" TargetMode="External"/><Relationship Id="rId11" Type="http://schemas.openxmlformats.org/officeDocument/2006/relationships/hyperlink" Target="https://prospects.atlassian.net/browse/WEB-26130" TargetMode="External"/><Relationship Id="rId24" Type="http://schemas.openxmlformats.org/officeDocument/2006/relationships/hyperlink" Target="https://prospects.atlassian.net/browse/WEB-26510" TargetMode="External"/><Relationship Id="rId32" Type="http://schemas.openxmlformats.org/officeDocument/2006/relationships/hyperlink" Target="https://prospects.atlassian.net/browse/MOB-9597" TargetMode="External"/><Relationship Id="rId37" Type="http://schemas.openxmlformats.org/officeDocument/2006/relationships/drawing" Target="../drawings/drawing2.xml"/><Relationship Id="rId40" Type="http://schemas.microsoft.com/office/2017/10/relationships/threadedComment" Target="../threadedComments/threadedComment2.xml"/><Relationship Id="rId5" Type="http://schemas.openxmlformats.org/officeDocument/2006/relationships/hyperlink" Target="https://prospects.atlassian.net/browse/WEB-26002" TargetMode="External"/><Relationship Id="rId15" Type="http://schemas.openxmlformats.org/officeDocument/2006/relationships/hyperlink" Target="https://prospects.atlassian.net/browse/MOB-9391" TargetMode="External"/><Relationship Id="rId23" Type="http://schemas.openxmlformats.org/officeDocument/2006/relationships/hyperlink" Target="https://prospects.atlassian.net/browse/WEB-26495" TargetMode="External"/><Relationship Id="rId28" Type="http://schemas.openxmlformats.org/officeDocument/2006/relationships/hyperlink" Target="https://prospects.atlassian.net/browse/WEB-26627" TargetMode="External"/><Relationship Id="rId36" Type="http://schemas.openxmlformats.org/officeDocument/2006/relationships/printerSettings" Target="../printerSettings/printerSettings2.bin"/><Relationship Id="rId10" Type="http://schemas.openxmlformats.org/officeDocument/2006/relationships/hyperlink" Target="https://prospects.atlassian.net/browse/MOB-9391" TargetMode="External"/><Relationship Id="rId19" Type="http://schemas.openxmlformats.org/officeDocument/2006/relationships/hyperlink" Target="https://prospects.atlassian.net/browse/WEB-26268" TargetMode="External"/><Relationship Id="rId31" Type="http://schemas.openxmlformats.org/officeDocument/2006/relationships/hyperlink" Target="https://prospects.atlassian.net/browse/WEB-26698" TargetMode="External"/><Relationship Id="rId4" Type="http://schemas.openxmlformats.org/officeDocument/2006/relationships/hyperlink" Target="https://prospects.atlassian.net/browse/WEB-25932" TargetMode="External"/><Relationship Id="rId9" Type="http://schemas.openxmlformats.org/officeDocument/2006/relationships/hyperlink" Target="https://prospects.atlassian.net/browse/WEB-26116" TargetMode="External"/><Relationship Id="rId14" Type="http://schemas.openxmlformats.org/officeDocument/2006/relationships/hyperlink" Target="https://prospects.atlassian.net/browse/WEB-26180" TargetMode="External"/><Relationship Id="rId22" Type="http://schemas.openxmlformats.org/officeDocument/2006/relationships/hyperlink" Target="https://prospects.atlassian.net/browse/WEB-26371" TargetMode="External"/><Relationship Id="rId27" Type="http://schemas.openxmlformats.org/officeDocument/2006/relationships/hyperlink" Target="https://prospects.atlassian.net/browse/MOB-9550" TargetMode="External"/><Relationship Id="rId30" Type="http://schemas.openxmlformats.org/officeDocument/2006/relationships/hyperlink" Target="https://prospects.atlassian.net/browse/WEB-26679" TargetMode="External"/><Relationship Id="rId35" Type="http://schemas.openxmlformats.org/officeDocument/2006/relationships/hyperlink" Target="https://prospects.atlassian.net/browse/MOB-9600" TargetMode="External"/><Relationship Id="rId8" Type="http://schemas.openxmlformats.org/officeDocument/2006/relationships/hyperlink" Target="https://prospects.atlassian.net/browse/MOB-9421" TargetMode="External"/><Relationship Id="rId3" Type="http://schemas.openxmlformats.org/officeDocument/2006/relationships/hyperlink" Target="https://prospects.atlassian.net/browse/WEB-25900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prospects.atlassian.net/browse/OP-2040" TargetMode="External"/><Relationship Id="rId3" Type="http://schemas.openxmlformats.org/officeDocument/2006/relationships/hyperlink" Target="https://prospects.atlassian.net/browse/MOB-9391" TargetMode="External"/><Relationship Id="rId7" Type="http://schemas.openxmlformats.org/officeDocument/2006/relationships/hyperlink" Target="https://prospects.atlassian.net/browse/WEB-25644" TargetMode="External"/><Relationship Id="rId2" Type="http://schemas.openxmlformats.org/officeDocument/2006/relationships/hyperlink" Target="https://prospects.atlassian.net/browse/MOB-9493" TargetMode="External"/><Relationship Id="rId1" Type="http://schemas.openxmlformats.org/officeDocument/2006/relationships/hyperlink" Target="https://prospects.atlassian.net/browse/WEB-24868" TargetMode="External"/><Relationship Id="rId6" Type="http://schemas.openxmlformats.org/officeDocument/2006/relationships/hyperlink" Target="https://prospects.atlassian.net/browse/WEB-26518" TargetMode="External"/><Relationship Id="rId11" Type="http://schemas.openxmlformats.org/officeDocument/2006/relationships/hyperlink" Target="https://prospects.atlassian.net/browse/WEB-26166" TargetMode="External"/><Relationship Id="rId5" Type="http://schemas.openxmlformats.org/officeDocument/2006/relationships/hyperlink" Target="https://prospects.atlassian.net/browse/WEB-25840" TargetMode="External"/><Relationship Id="rId10" Type="http://schemas.openxmlformats.org/officeDocument/2006/relationships/hyperlink" Target="https://prospects.atlassian.net/browse/WEB-23751" TargetMode="External"/><Relationship Id="rId4" Type="http://schemas.openxmlformats.org/officeDocument/2006/relationships/hyperlink" Target="https://prospects.atlassian.net/browse/MOB-9543" TargetMode="External"/><Relationship Id="rId9" Type="http://schemas.openxmlformats.org/officeDocument/2006/relationships/hyperlink" Target="https://prospects.atlassian.net/browse/WEB-20240?focusedCommentId=739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FE3BA-59CA-4D5F-9415-133187CF30C1}">
  <dimension ref="A1:R15"/>
  <sheetViews>
    <sheetView showGridLines="0" tabSelected="1" topLeftCell="B1" workbookViewId="0">
      <pane ySplit="1" topLeftCell="A2" activePane="bottomLeft" state="frozen"/>
      <selection activeCell="B1" sqref="B1"/>
      <selection pane="bottomLeft" activeCell="R7" sqref="R7"/>
    </sheetView>
  </sheetViews>
  <sheetFormatPr defaultRowHeight="14.4" outlineLevelRow="1" outlineLevelCol="1" x14ac:dyDescent="0.3"/>
  <cols>
    <col min="1" max="1" width="64.109375" customWidth="1"/>
    <col min="2" max="2" width="14.88671875" style="1" customWidth="1"/>
    <col min="3" max="3" width="6.44140625" style="1" customWidth="1"/>
    <col min="4" max="4" width="9.109375" style="15" customWidth="1"/>
    <col min="5" max="9" width="12.109375" style="1" customWidth="1" outlineLevel="1"/>
    <col min="10" max="10" width="12.109375" style="1" customWidth="1"/>
    <col min="11" max="12" width="15.5546875" style="1" customWidth="1"/>
    <col min="13" max="13" width="12.109375" style="1" customWidth="1"/>
    <col min="14" max="14" width="15.5546875" style="1" customWidth="1"/>
    <col min="15" max="16" width="13" style="1" customWidth="1"/>
    <col min="17" max="17" width="2.88671875" customWidth="1"/>
    <col min="18" max="18" width="12" customWidth="1"/>
  </cols>
  <sheetData>
    <row r="1" spans="1:18" ht="76.5" customHeight="1" thickBot="1" x14ac:dyDescent="0.35">
      <c r="A1" s="98" t="s">
        <v>0</v>
      </c>
      <c r="B1" s="58" t="s">
        <v>1</v>
      </c>
      <c r="C1" s="162" t="s">
        <v>2</v>
      </c>
      <c r="D1" s="162" t="s">
        <v>3</v>
      </c>
      <c r="E1" s="125" t="s">
        <v>4</v>
      </c>
      <c r="F1" s="17" t="s">
        <v>5</v>
      </c>
      <c r="G1" s="18" t="s">
        <v>6</v>
      </c>
      <c r="H1" s="18" t="s">
        <v>7</v>
      </c>
      <c r="I1" s="126" t="s">
        <v>8</v>
      </c>
      <c r="J1" s="57" t="s">
        <v>9</v>
      </c>
      <c r="K1" s="127" t="s">
        <v>10</v>
      </c>
      <c r="L1" s="128" t="s">
        <v>11</v>
      </c>
      <c r="M1" s="90" t="s">
        <v>12</v>
      </c>
      <c r="N1" s="122" t="s">
        <v>13</v>
      </c>
      <c r="O1" s="129" t="s">
        <v>189</v>
      </c>
      <c r="P1" s="174" t="s">
        <v>15</v>
      </c>
    </row>
    <row r="2" spans="1:18" x14ac:dyDescent="0.3">
      <c r="A2" s="224"/>
      <c r="B2" s="219"/>
      <c r="C2" s="132"/>
      <c r="D2" s="151"/>
      <c r="E2" s="62"/>
      <c r="F2" s="63"/>
      <c r="G2" s="64"/>
      <c r="H2" s="64"/>
      <c r="I2" s="65"/>
      <c r="J2" s="66"/>
      <c r="K2" s="67"/>
      <c r="L2" s="65"/>
      <c r="M2" s="66"/>
      <c r="N2" s="68"/>
      <c r="O2" s="66"/>
      <c r="P2" s="66"/>
      <c r="R2" s="8"/>
    </row>
    <row r="3" spans="1:18" x14ac:dyDescent="0.3">
      <c r="A3" s="257"/>
      <c r="B3" s="235"/>
      <c r="C3" s="214"/>
      <c r="D3" s="159"/>
      <c r="E3" s="215">
        <v>5</v>
      </c>
      <c r="F3" s="216">
        <v>5</v>
      </c>
      <c r="G3" s="217">
        <v>5</v>
      </c>
      <c r="H3" s="217">
        <v>5</v>
      </c>
      <c r="I3" s="170">
        <v>4</v>
      </c>
      <c r="J3" s="6">
        <f t="shared" ref="J3:J4" si="0">(E3+F3+G3+H3+I3)/5</f>
        <v>4.8</v>
      </c>
      <c r="K3" s="172">
        <v>3</v>
      </c>
      <c r="L3" s="170">
        <v>1</v>
      </c>
      <c r="M3" s="6">
        <f t="shared" ref="M3:M4" si="1">J3+K3+L3</f>
        <v>8.8000000000000007</v>
      </c>
      <c r="N3" s="173">
        <v>2</v>
      </c>
      <c r="O3" s="6">
        <f t="shared" ref="O3:O4" si="2">M3/N3</f>
        <v>4.4000000000000004</v>
      </c>
      <c r="P3" s="6">
        <f t="shared" ref="P3:P4" si="3">O3+C3</f>
        <v>4.4000000000000004</v>
      </c>
      <c r="R3" s="8"/>
    </row>
    <row r="4" spans="1:18" x14ac:dyDescent="0.3">
      <c r="A4" s="234"/>
      <c r="B4" s="237"/>
      <c r="C4" s="136"/>
      <c r="D4" s="157"/>
      <c r="E4" s="10"/>
      <c r="F4" s="3"/>
      <c r="G4" s="2"/>
      <c r="H4" s="2"/>
      <c r="I4" s="4"/>
      <c r="J4" s="6">
        <f t="shared" si="0"/>
        <v>0</v>
      </c>
      <c r="K4" s="5"/>
      <c r="L4" s="4"/>
      <c r="M4" s="6">
        <f t="shared" si="1"/>
        <v>0</v>
      </c>
      <c r="N4" s="7"/>
      <c r="O4" s="6" t="e">
        <f t="shared" si="2"/>
        <v>#DIV/0!</v>
      </c>
      <c r="P4" s="6" t="e">
        <f t="shared" si="3"/>
        <v>#DIV/0!</v>
      </c>
      <c r="R4" s="8"/>
    </row>
    <row r="5" spans="1:18" x14ac:dyDescent="0.3">
      <c r="A5" s="257"/>
      <c r="B5" s="233"/>
      <c r="C5" s="214"/>
      <c r="D5" s="159"/>
      <c r="E5" s="215"/>
      <c r="F5" s="216"/>
      <c r="G5" s="217"/>
      <c r="H5" s="217"/>
      <c r="I5" s="170"/>
      <c r="J5" s="218"/>
      <c r="K5" s="172"/>
      <c r="L5" s="170"/>
      <c r="M5" s="218"/>
      <c r="N5" s="173"/>
      <c r="O5" s="218"/>
      <c r="P5" s="218"/>
      <c r="R5" s="8"/>
    </row>
    <row r="6" spans="1:18" x14ac:dyDescent="0.3">
      <c r="A6" s="225" t="s">
        <v>188</v>
      </c>
      <c r="B6" s="188"/>
      <c r="C6" s="188"/>
      <c r="D6" s="189"/>
      <c r="E6" s="192"/>
      <c r="F6" s="193"/>
      <c r="G6" s="193"/>
      <c r="H6" s="193"/>
      <c r="I6" s="194"/>
      <c r="J6" s="195"/>
      <c r="K6" s="196"/>
      <c r="L6" s="194"/>
      <c r="M6" s="195"/>
      <c r="N6" s="197"/>
      <c r="O6" s="195"/>
      <c r="P6" s="195"/>
      <c r="R6" s="8"/>
    </row>
    <row r="7" spans="1:18" x14ac:dyDescent="0.3">
      <c r="A7" s="226"/>
      <c r="B7" s="219"/>
      <c r="C7" s="132"/>
      <c r="D7" s="151"/>
      <c r="E7" s="62"/>
      <c r="F7" s="63"/>
      <c r="G7" s="64"/>
      <c r="H7" s="64"/>
      <c r="I7" s="65"/>
      <c r="J7" s="66"/>
      <c r="K7" s="67"/>
      <c r="L7" s="65"/>
      <c r="M7" s="66"/>
      <c r="N7" s="68"/>
      <c r="O7" s="66"/>
      <c r="P7" s="66"/>
      <c r="R7" s="8"/>
    </row>
    <row r="8" spans="1:18" outlineLevel="1" x14ac:dyDescent="0.3">
      <c r="A8" s="179"/>
      <c r="B8" s="115"/>
      <c r="C8" s="136"/>
      <c r="D8" s="180"/>
      <c r="E8" s="10"/>
      <c r="F8" s="3"/>
      <c r="G8" s="2"/>
      <c r="H8" s="2"/>
      <c r="I8" s="4"/>
      <c r="J8" s="6"/>
      <c r="K8" s="5"/>
      <c r="L8" s="4"/>
      <c r="M8" s="6"/>
      <c r="N8" s="7"/>
      <c r="O8" s="6"/>
      <c r="P8" s="59"/>
      <c r="R8" s="9"/>
    </row>
    <row r="9" spans="1:18" x14ac:dyDescent="0.3">
      <c r="A9" s="107"/>
      <c r="B9" s="166"/>
      <c r="C9" s="181"/>
      <c r="D9" s="158"/>
      <c r="E9" s="47"/>
      <c r="F9" s="11"/>
      <c r="G9" s="45"/>
      <c r="H9" s="45"/>
      <c r="I9" s="44"/>
      <c r="J9" s="6">
        <f t="shared" ref="J9:J12" si="4">(E9+F9+G9+H9+I9)/5</f>
        <v>0</v>
      </c>
      <c r="K9" s="46"/>
      <c r="L9" s="44"/>
      <c r="M9" s="6">
        <f t="shared" ref="M9:M12" si="5">J9+K9+L9</f>
        <v>0</v>
      </c>
      <c r="N9" s="12"/>
      <c r="O9" s="59" t="e">
        <f t="shared" ref="O9:O12" si="6">M9/N9</f>
        <v>#DIV/0!</v>
      </c>
      <c r="P9" s="59" t="e">
        <f t="shared" ref="P9:P12" si="7">O9+C9</f>
        <v>#DIV/0!</v>
      </c>
      <c r="R9" s="266"/>
    </row>
    <row r="10" spans="1:18" x14ac:dyDescent="0.3">
      <c r="A10" s="106"/>
      <c r="B10" s="119"/>
      <c r="C10" s="139"/>
      <c r="D10" s="157"/>
      <c r="E10" s="10"/>
      <c r="F10" s="55"/>
      <c r="G10" s="175"/>
      <c r="H10" s="175"/>
      <c r="I10" s="176"/>
      <c r="J10" s="6">
        <f t="shared" si="4"/>
        <v>0</v>
      </c>
      <c r="K10" s="177"/>
      <c r="L10" s="176"/>
      <c r="M10" s="6">
        <f t="shared" si="5"/>
        <v>0</v>
      </c>
      <c r="N10" s="178"/>
      <c r="O10" s="59" t="e">
        <f t="shared" si="6"/>
        <v>#DIV/0!</v>
      </c>
      <c r="P10" s="59" t="e">
        <f t="shared" si="7"/>
        <v>#DIV/0!</v>
      </c>
      <c r="R10" s="266"/>
    </row>
    <row r="11" spans="1:18" x14ac:dyDescent="0.3">
      <c r="A11" s="106"/>
      <c r="B11" s="119"/>
      <c r="C11" s="139"/>
      <c r="D11" s="157"/>
      <c r="E11" s="10"/>
      <c r="F11" s="55"/>
      <c r="G11" s="175"/>
      <c r="H11" s="175"/>
      <c r="I11" s="176"/>
      <c r="J11" s="6">
        <f t="shared" si="4"/>
        <v>0</v>
      </c>
      <c r="K11" s="177"/>
      <c r="L11" s="176"/>
      <c r="M11" s="6">
        <f t="shared" si="5"/>
        <v>0</v>
      </c>
      <c r="N11" s="178"/>
      <c r="O11" s="59" t="e">
        <f t="shared" si="6"/>
        <v>#DIV/0!</v>
      </c>
      <c r="P11" s="59" t="e">
        <f t="shared" si="7"/>
        <v>#DIV/0!</v>
      </c>
      <c r="R11" s="266"/>
    </row>
    <row r="12" spans="1:18" x14ac:dyDescent="0.3">
      <c r="A12" s="108"/>
      <c r="B12" s="121"/>
      <c r="C12" s="140"/>
      <c r="D12" s="159"/>
      <c r="E12" s="47"/>
      <c r="F12" s="56"/>
      <c r="G12" s="182"/>
      <c r="H12" s="182"/>
      <c r="I12" s="183"/>
      <c r="J12" s="6">
        <f t="shared" si="4"/>
        <v>0</v>
      </c>
      <c r="K12" s="184"/>
      <c r="L12" s="183"/>
      <c r="M12" s="6">
        <f t="shared" si="5"/>
        <v>0</v>
      </c>
      <c r="N12" s="185"/>
      <c r="O12" s="59" t="e">
        <f t="shared" si="6"/>
        <v>#DIV/0!</v>
      </c>
      <c r="P12" s="59" t="e">
        <f t="shared" si="7"/>
        <v>#DIV/0!</v>
      </c>
      <c r="R12" s="266"/>
    </row>
    <row r="13" spans="1:18" x14ac:dyDescent="0.3">
      <c r="A13" s="107"/>
      <c r="B13" s="166"/>
      <c r="C13" s="181"/>
      <c r="D13" s="158"/>
      <c r="E13" s="47"/>
      <c r="F13" s="11"/>
      <c r="G13" s="45"/>
      <c r="H13" s="45"/>
      <c r="I13" s="44"/>
      <c r="J13" s="6"/>
      <c r="K13" s="46"/>
      <c r="L13" s="44"/>
      <c r="M13" s="6"/>
      <c r="N13" s="12"/>
      <c r="O13" s="59"/>
      <c r="P13" s="59"/>
      <c r="R13" s="13"/>
    </row>
    <row r="14" spans="1:18" ht="15" thickBot="1" x14ac:dyDescent="0.35">
      <c r="A14" s="142"/>
      <c r="B14" s="186"/>
      <c r="C14" s="187"/>
      <c r="D14" s="160"/>
      <c r="E14" s="144"/>
      <c r="F14" s="60"/>
      <c r="G14" s="145"/>
      <c r="H14" s="145"/>
      <c r="I14" s="146"/>
      <c r="J14" s="123"/>
      <c r="K14" s="147"/>
      <c r="L14" s="146"/>
      <c r="M14" s="124"/>
      <c r="N14" s="61"/>
      <c r="O14" s="59"/>
      <c r="P14" s="59"/>
      <c r="R14" s="13"/>
    </row>
    <row r="15" spans="1:18" x14ac:dyDescent="0.3">
      <c r="B15" s="49"/>
      <c r="C15" s="49"/>
      <c r="H15" s="14"/>
      <c r="K15" s="15"/>
      <c r="L15" s="14"/>
      <c r="N15" s="14"/>
    </row>
  </sheetData>
  <mergeCells count="1">
    <mergeCell ref="R9:R12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DD1BF-F3FE-4122-8409-A48D4DFF9D7E}">
  <dimension ref="A1:R77"/>
  <sheetViews>
    <sheetView showGridLines="0" workbookViewId="0">
      <pane ySplit="1" topLeftCell="A2" activePane="bottomLeft" state="frozen"/>
      <selection activeCell="B1" sqref="B1"/>
      <selection pane="bottomLeft" activeCell="B8" sqref="B8"/>
    </sheetView>
  </sheetViews>
  <sheetFormatPr defaultRowHeight="14.4" outlineLevelRow="1" outlineLevelCol="1" x14ac:dyDescent="0.3"/>
  <cols>
    <col min="1" max="1" width="64.109375" customWidth="1"/>
    <col min="2" max="2" width="12.109375" style="1" customWidth="1"/>
    <col min="3" max="3" width="6.44140625" style="1" customWidth="1"/>
    <col min="4" max="4" width="9.109375" style="15" customWidth="1"/>
    <col min="5" max="9" width="12.109375" style="1" customWidth="1" outlineLevel="1"/>
    <col min="10" max="10" width="12.109375" style="1" customWidth="1"/>
    <col min="11" max="12" width="15.5546875" style="1" customWidth="1"/>
    <col min="13" max="13" width="12.109375" style="1" customWidth="1"/>
    <col min="14" max="14" width="15.5546875" style="1" customWidth="1"/>
    <col min="15" max="16" width="13" style="1" customWidth="1"/>
    <col min="17" max="17" width="2.88671875" customWidth="1"/>
    <col min="18" max="18" width="12" customWidth="1"/>
  </cols>
  <sheetData>
    <row r="1" spans="1:18" ht="76.5" customHeight="1" x14ac:dyDescent="0.3">
      <c r="A1" s="58" t="s">
        <v>0</v>
      </c>
      <c r="B1" s="232" t="s">
        <v>1</v>
      </c>
      <c r="C1" s="162" t="s">
        <v>2</v>
      </c>
      <c r="D1" s="162" t="s">
        <v>3</v>
      </c>
      <c r="E1" s="125" t="s">
        <v>4</v>
      </c>
      <c r="F1" s="17" t="s">
        <v>5</v>
      </c>
      <c r="G1" s="18" t="s">
        <v>6</v>
      </c>
      <c r="H1" s="18" t="s">
        <v>7</v>
      </c>
      <c r="I1" s="126" t="s">
        <v>8</v>
      </c>
      <c r="J1" s="57" t="s">
        <v>9</v>
      </c>
      <c r="K1" s="127" t="s">
        <v>10</v>
      </c>
      <c r="L1" s="128" t="s">
        <v>11</v>
      </c>
      <c r="M1" s="90" t="s">
        <v>12</v>
      </c>
      <c r="N1" s="122" t="s">
        <v>13</v>
      </c>
      <c r="O1" s="129" t="s">
        <v>14</v>
      </c>
      <c r="P1" s="163" t="s">
        <v>15</v>
      </c>
    </row>
    <row r="2" spans="1:18" x14ac:dyDescent="0.3">
      <c r="A2" s="226"/>
      <c r="B2" s="219"/>
      <c r="C2" s="132"/>
      <c r="D2" s="151"/>
      <c r="E2" s="62"/>
      <c r="F2" s="63"/>
      <c r="G2" s="64"/>
      <c r="H2" s="64"/>
      <c r="I2" s="65"/>
      <c r="J2" s="66"/>
      <c r="K2" s="67"/>
      <c r="L2" s="65"/>
      <c r="M2" s="66"/>
      <c r="N2" s="68"/>
      <c r="O2" s="66"/>
      <c r="P2" s="66"/>
      <c r="R2" s="8"/>
    </row>
    <row r="3" spans="1:18" x14ac:dyDescent="0.3">
      <c r="A3" s="227" t="s">
        <v>16</v>
      </c>
      <c r="B3" s="220"/>
      <c r="C3" s="130"/>
      <c r="D3" s="168"/>
      <c r="E3" s="71"/>
      <c r="F3" s="72"/>
      <c r="G3" s="72"/>
      <c r="H3" s="72"/>
      <c r="I3" s="73"/>
      <c r="J3" s="74"/>
      <c r="K3" s="75"/>
      <c r="L3" s="73"/>
      <c r="M3" s="74"/>
      <c r="N3" s="76"/>
      <c r="O3" s="74"/>
      <c r="P3" s="74"/>
      <c r="R3" s="8"/>
    </row>
    <row r="4" spans="1:18" x14ac:dyDescent="0.3">
      <c r="A4" s="258"/>
      <c r="B4" s="259"/>
      <c r="C4" s="260"/>
      <c r="D4" s="159"/>
      <c r="E4" s="215"/>
      <c r="F4" s="63"/>
      <c r="G4" s="217"/>
      <c r="H4" s="217"/>
      <c r="I4" s="170"/>
      <c r="J4" s="236">
        <f>(E4+F4+G4+H4+I4)/5</f>
        <v>0</v>
      </c>
      <c r="K4" s="172"/>
      <c r="L4" s="170"/>
      <c r="M4" s="236">
        <f>J4+K4+L4</f>
        <v>0</v>
      </c>
      <c r="N4" s="264"/>
      <c r="O4" s="236" t="e">
        <f>M4/N4</f>
        <v>#DIV/0!</v>
      </c>
      <c r="P4" s="236" t="e">
        <f>O4+C4</f>
        <v>#DIV/0!</v>
      </c>
      <c r="R4" s="8"/>
    </row>
    <row r="5" spans="1:18" x14ac:dyDescent="0.3">
      <c r="A5" s="234"/>
      <c r="B5" s="261"/>
      <c r="C5" s="262"/>
      <c r="D5" s="157"/>
      <c r="E5" s="10"/>
      <c r="F5" s="63"/>
      <c r="G5" s="2"/>
      <c r="H5" s="2"/>
      <c r="I5" s="4"/>
      <c r="J5" s="6">
        <f>(E5+F5+G5+H5+I5)/5</f>
        <v>0</v>
      </c>
      <c r="K5" s="5"/>
      <c r="L5" s="4"/>
      <c r="M5" s="6">
        <f>J5+K5+L5</f>
        <v>0</v>
      </c>
      <c r="N5" s="263"/>
      <c r="O5" s="6" t="e">
        <f>M5/N5</f>
        <v>#DIV/0!</v>
      </c>
      <c r="P5" s="6" t="e">
        <f>O5+C5</f>
        <v>#DIV/0!</v>
      </c>
      <c r="R5" s="8"/>
    </row>
    <row r="6" spans="1:18" x14ac:dyDescent="0.3">
      <c r="A6" s="226"/>
      <c r="B6" s="219"/>
      <c r="C6" s="132"/>
      <c r="D6" s="151"/>
      <c r="E6" s="62"/>
      <c r="F6" s="63"/>
      <c r="G6" s="64"/>
      <c r="H6" s="64"/>
      <c r="I6" s="65"/>
      <c r="J6" s="66"/>
      <c r="K6" s="67"/>
      <c r="L6" s="65"/>
      <c r="M6" s="66"/>
      <c r="N6" s="68"/>
      <c r="O6" s="66"/>
      <c r="P6" s="66"/>
      <c r="R6" s="8"/>
    </row>
    <row r="7" spans="1:18" x14ac:dyDescent="0.3">
      <c r="A7" s="227" t="s">
        <v>17</v>
      </c>
      <c r="B7" s="220" t="s">
        <v>18</v>
      </c>
      <c r="C7" s="130"/>
      <c r="D7" s="168"/>
      <c r="E7" s="71"/>
      <c r="F7" s="72"/>
      <c r="G7" s="72"/>
      <c r="H7" s="72"/>
      <c r="I7" s="73"/>
      <c r="J7" s="74"/>
      <c r="K7" s="75"/>
      <c r="L7" s="73"/>
      <c r="M7" s="74"/>
      <c r="N7" s="76"/>
      <c r="O7" s="74"/>
      <c r="P7" s="74"/>
      <c r="R7" s="8"/>
    </row>
    <row r="8" spans="1:18" x14ac:dyDescent="0.3">
      <c r="A8" s="234" t="s">
        <v>74</v>
      </c>
      <c r="B8" s="235" t="s">
        <v>75</v>
      </c>
      <c r="C8" s="214"/>
      <c r="D8" s="159"/>
      <c r="E8" s="215"/>
      <c r="F8" s="216"/>
      <c r="G8" s="217"/>
      <c r="H8" s="217"/>
      <c r="I8" s="170"/>
      <c r="J8" s="236">
        <f>(E8+F8+G8+H8+I8)/5</f>
        <v>0</v>
      </c>
      <c r="K8" s="172"/>
      <c r="L8" s="170"/>
      <c r="M8" s="236">
        <f>J8+K8+L8</f>
        <v>0</v>
      </c>
      <c r="N8" s="173"/>
      <c r="O8" s="236" t="e">
        <f>M8/N8</f>
        <v>#DIV/0!</v>
      </c>
      <c r="P8" s="236" t="e">
        <f>O8+C8</f>
        <v>#DIV/0!</v>
      </c>
      <c r="R8" s="8"/>
    </row>
    <row r="9" spans="1:18" x14ac:dyDescent="0.3">
      <c r="A9" s="234" t="s">
        <v>76</v>
      </c>
      <c r="B9" s="237" t="s">
        <v>77</v>
      </c>
      <c r="C9" s="136"/>
      <c r="D9" s="157"/>
      <c r="E9" s="10">
        <v>5</v>
      </c>
      <c r="F9" s="3">
        <v>5</v>
      </c>
      <c r="G9" s="2">
        <v>5</v>
      </c>
      <c r="H9" s="2">
        <v>3</v>
      </c>
      <c r="I9" s="4">
        <v>5</v>
      </c>
      <c r="J9" s="236">
        <f>(E9+F9+G9+H9+I9)/5</f>
        <v>4.5999999999999996</v>
      </c>
      <c r="K9" s="5">
        <v>3</v>
      </c>
      <c r="L9" s="4">
        <v>1</v>
      </c>
      <c r="M9" s="236">
        <f>J9+K9+L9</f>
        <v>8.6</v>
      </c>
      <c r="N9" s="7" t="s">
        <v>23</v>
      </c>
      <c r="O9" s="236" t="e">
        <f>M9/N9</f>
        <v>#VALUE!</v>
      </c>
      <c r="P9" s="236" t="e">
        <f>O9+C9</f>
        <v>#VALUE!</v>
      </c>
      <c r="R9" s="8"/>
    </row>
    <row r="10" spans="1:18" x14ac:dyDescent="0.3">
      <c r="A10" s="234" t="s">
        <v>78</v>
      </c>
      <c r="B10" s="237" t="s">
        <v>79</v>
      </c>
      <c r="C10" s="136"/>
      <c r="D10" s="157"/>
      <c r="E10" s="10"/>
      <c r="F10" s="3"/>
      <c r="G10" s="2"/>
      <c r="H10" s="2"/>
      <c r="I10" s="4"/>
      <c r="J10" s="6">
        <f>(E10+F10+G10+H10+I10)/5</f>
        <v>0</v>
      </c>
      <c r="K10" s="5"/>
      <c r="L10" s="4"/>
      <c r="M10" s="6">
        <f>J10+K10+L10</f>
        <v>0</v>
      </c>
      <c r="N10" s="7"/>
      <c r="O10" s="6" t="e">
        <f>M10/N10</f>
        <v>#DIV/0!</v>
      </c>
      <c r="P10" s="6" t="e">
        <f>O10+C10</f>
        <v>#DIV/0!</v>
      </c>
      <c r="R10" s="8"/>
    </row>
    <row r="11" spans="1:18" x14ac:dyDescent="0.3">
      <c r="A11" s="226" t="s">
        <v>80</v>
      </c>
      <c r="B11" s="221" t="s">
        <v>81</v>
      </c>
      <c r="C11" s="132"/>
      <c r="D11" s="151"/>
      <c r="E11" s="62"/>
      <c r="F11" s="63"/>
      <c r="G11" s="64"/>
      <c r="H11" s="64"/>
      <c r="I11" s="65"/>
      <c r="J11" s="6">
        <f>(E11+F11+G11+H11+I11)/5</f>
        <v>0</v>
      </c>
      <c r="K11" s="67"/>
      <c r="L11" s="65"/>
      <c r="M11" s="6">
        <f>J11+K11+L11</f>
        <v>0</v>
      </c>
      <c r="N11" s="68"/>
      <c r="O11" s="6" t="e">
        <f>M11/N11</f>
        <v>#DIV/0!</v>
      </c>
      <c r="P11" s="6" t="e">
        <f>O11+C11</f>
        <v>#DIV/0!</v>
      </c>
      <c r="R11" s="8"/>
    </row>
    <row r="12" spans="1:18" x14ac:dyDescent="0.3">
      <c r="A12" s="226"/>
      <c r="B12" s="219"/>
      <c r="C12" s="132"/>
      <c r="D12" s="151"/>
      <c r="E12" s="62"/>
      <c r="F12" s="63"/>
      <c r="G12" s="64"/>
      <c r="H12" s="64"/>
      <c r="I12" s="65"/>
      <c r="J12" s="66"/>
      <c r="K12" s="67"/>
      <c r="L12" s="65"/>
      <c r="M12" s="66"/>
      <c r="N12" s="68"/>
      <c r="O12" s="66"/>
      <c r="P12" s="66"/>
      <c r="R12" s="8"/>
    </row>
    <row r="13" spans="1:18" x14ac:dyDescent="0.3">
      <c r="A13" s="227" t="s">
        <v>19</v>
      </c>
      <c r="B13" s="220" t="s">
        <v>20</v>
      </c>
      <c r="C13" s="130"/>
      <c r="D13" s="168"/>
      <c r="E13" s="71"/>
      <c r="F13" s="72"/>
      <c r="G13" s="72"/>
      <c r="H13" s="72"/>
      <c r="I13" s="73"/>
      <c r="J13" s="74"/>
      <c r="K13" s="75"/>
      <c r="L13" s="73"/>
      <c r="M13" s="74"/>
      <c r="N13" s="76"/>
      <c r="O13" s="74"/>
      <c r="P13" s="74"/>
      <c r="R13" s="8"/>
    </row>
    <row r="14" spans="1:18" x14ac:dyDescent="0.3">
      <c r="A14" s="226"/>
      <c r="B14" s="219"/>
      <c r="C14" s="132"/>
      <c r="D14" s="151"/>
      <c r="E14" s="62"/>
      <c r="F14" s="63"/>
      <c r="G14" s="64"/>
      <c r="H14" s="64"/>
      <c r="I14" s="65"/>
      <c r="J14" s="66"/>
      <c r="K14" s="67"/>
      <c r="L14" s="65"/>
      <c r="M14" s="66"/>
      <c r="N14" s="68"/>
      <c r="O14" s="66"/>
      <c r="P14" s="66"/>
      <c r="R14" s="8"/>
    </row>
    <row r="15" spans="1:18" x14ac:dyDescent="0.3">
      <c r="A15" s="227" t="s">
        <v>21</v>
      </c>
      <c r="B15" s="220" t="s">
        <v>22</v>
      </c>
      <c r="C15" s="130"/>
      <c r="D15" s="168"/>
      <c r="E15" s="71"/>
      <c r="F15" s="72"/>
      <c r="G15" s="72"/>
      <c r="H15" s="72"/>
      <c r="I15" s="73"/>
      <c r="J15" s="74"/>
      <c r="K15" s="75"/>
      <c r="L15" s="73"/>
      <c r="M15" s="74"/>
      <c r="N15" s="76"/>
      <c r="O15" s="74"/>
      <c r="P15" s="74"/>
      <c r="R15" s="8"/>
    </row>
    <row r="16" spans="1:18" s="70" customFormat="1" x14ac:dyDescent="0.3">
      <c r="A16" s="228" t="s">
        <v>82</v>
      </c>
      <c r="B16" s="222" t="s">
        <v>83</v>
      </c>
      <c r="C16" s="165"/>
      <c r="D16" s="153"/>
      <c r="E16" s="93">
        <v>5</v>
      </c>
      <c r="F16" s="91">
        <v>5</v>
      </c>
      <c r="G16" s="95">
        <v>5</v>
      </c>
      <c r="H16" s="95">
        <v>5</v>
      </c>
      <c r="I16" s="96">
        <v>2.5</v>
      </c>
      <c r="J16" s="59">
        <f>(E16+F16+G16+H16+I16)/5</f>
        <v>4.5</v>
      </c>
      <c r="K16" s="97">
        <v>4</v>
      </c>
      <c r="L16" s="96">
        <v>1</v>
      </c>
      <c r="M16" s="59">
        <f>J16+K16+L16</f>
        <v>9.5</v>
      </c>
      <c r="N16" s="92">
        <v>2</v>
      </c>
      <c r="O16" s="59">
        <f>M16/N16</f>
        <v>4.75</v>
      </c>
      <c r="P16" s="59">
        <f>O16+C16</f>
        <v>4.75</v>
      </c>
      <c r="R16" s="94"/>
    </row>
    <row r="17" spans="1:18" ht="15" thickBot="1" x14ac:dyDescent="0.35">
      <c r="A17" s="229"/>
      <c r="B17" s="233"/>
      <c r="C17" s="214"/>
      <c r="D17" s="159"/>
      <c r="E17" s="215"/>
      <c r="F17" s="216"/>
      <c r="G17" s="217"/>
      <c r="H17" s="217"/>
      <c r="I17" s="170"/>
      <c r="J17" s="218"/>
      <c r="K17" s="172"/>
      <c r="L17" s="170"/>
      <c r="M17" s="218"/>
      <c r="N17" s="173"/>
      <c r="O17" s="218"/>
      <c r="P17" s="218"/>
      <c r="R17" s="8"/>
    </row>
    <row r="18" spans="1:18" ht="15" thickBot="1" x14ac:dyDescent="0.35">
      <c r="A18" s="223" t="s">
        <v>84</v>
      </c>
      <c r="B18" s="191"/>
      <c r="C18" s="188"/>
      <c r="D18" s="189"/>
      <c r="E18" s="192"/>
      <c r="F18" s="193"/>
      <c r="G18" s="193"/>
      <c r="H18" s="193"/>
      <c r="I18" s="194"/>
      <c r="J18" s="195"/>
      <c r="K18" s="196"/>
      <c r="L18" s="194"/>
      <c r="M18" s="195"/>
      <c r="N18" s="197"/>
      <c r="O18" s="195"/>
      <c r="P18" s="195"/>
      <c r="R18" s="8"/>
    </row>
    <row r="19" spans="1:18" x14ac:dyDescent="0.3">
      <c r="A19" s="100"/>
      <c r="B19" s="109"/>
      <c r="C19" s="132"/>
      <c r="D19" s="151"/>
      <c r="E19" s="62"/>
      <c r="F19" s="63"/>
      <c r="G19" s="64"/>
      <c r="H19" s="64"/>
      <c r="I19" s="65"/>
      <c r="J19" s="66"/>
      <c r="K19" s="67"/>
      <c r="L19" s="65"/>
      <c r="M19" s="66"/>
      <c r="N19" s="68"/>
      <c r="O19" s="66"/>
      <c r="P19" s="66"/>
      <c r="R19" s="8"/>
    </row>
    <row r="20" spans="1:18" x14ac:dyDescent="0.3">
      <c r="A20" s="167" t="s">
        <v>25</v>
      </c>
      <c r="B20" s="117" t="s">
        <v>26</v>
      </c>
      <c r="C20" s="130"/>
      <c r="D20" s="168"/>
      <c r="E20" s="71"/>
      <c r="F20" s="72"/>
      <c r="G20" s="72"/>
      <c r="H20" s="72"/>
      <c r="I20" s="73"/>
      <c r="J20" s="74"/>
      <c r="K20" s="75"/>
      <c r="L20" s="73"/>
      <c r="M20" s="74"/>
      <c r="N20" s="76"/>
      <c r="O20" s="74"/>
      <c r="P20" s="74"/>
      <c r="R20" s="8"/>
    </row>
    <row r="21" spans="1:18" s="70" customFormat="1" x14ac:dyDescent="0.3">
      <c r="A21" s="102" t="s">
        <v>85</v>
      </c>
      <c r="B21" s="110" t="s">
        <v>86</v>
      </c>
      <c r="C21" s="165"/>
      <c r="D21" s="153"/>
      <c r="E21" s="93">
        <v>2.5</v>
      </c>
      <c r="F21" s="91">
        <v>5</v>
      </c>
      <c r="G21" s="95">
        <v>5</v>
      </c>
      <c r="H21" s="95">
        <v>5</v>
      </c>
      <c r="I21" s="96">
        <v>1</v>
      </c>
      <c r="J21" s="59">
        <f>(E21+F21+G21+H21+I21)/5</f>
        <v>3.7</v>
      </c>
      <c r="K21" s="97">
        <v>1</v>
      </c>
      <c r="L21" s="96">
        <v>1</v>
      </c>
      <c r="M21" s="59">
        <f>J21+K21+L21</f>
        <v>5.7</v>
      </c>
      <c r="N21" s="92">
        <v>1.5</v>
      </c>
      <c r="O21" s="59">
        <f>M21/N21</f>
        <v>3.8000000000000003</v>
      </c>
      <c r="P21" s="59">
        <f>O21+C21</f>
        <v>3.8000000000000003</v>
      </c>
      <c r="R21" s="94"/>
    </row>
    <row r="22" spans="1:18" x14ac:dyDescent="0.3">
      <c r="A22" s="100"/>
      <c r="B22" s="109"/>
      <c r="C22" s="132"/>
      <c r="D22" s="151"/>
      <c r="E22" s="62"/>
      <c r="F22" s="63"/>
      <c r="G22" s="64"/>
      <c r="H22" s="64"/>
      <c r="I22" s="65"/>
      <c r="J22" s="66"/>
      <c r="K22" s="67"/>
      <c r="L22" s="65"/>
      <c r="M22" s="66"/>
      <c r="N22" s="68"/>
      <c r="O22" s="66"/>
      <c r="P22" s="66"/>
      <c r="R22" s="8"/>
    </row>
    <row r="23" spans="1:18" x14ac:dyDescent="0.3">
      <c r="A23" s="167" t="s">
        <v>27</v>
      </c>
      <c r="B23" s="117" t="s">
        <v>28</v>
      </c>
      <c r="C23" s="130"/>
      <c r="D23" s="168"/>
      <c r="E23" s="71"/>
      <c r="F23" s="72"/>
      <c r="G23" s="72"/>
      <c r="H23" s="72"/>
      <c r="I23" s="73"/>
      <c r="J23" s="74"/>
      <c r="K23" s="75"/>
      <c r="L23" s="73"/>
      <c r="M23" s="74"/>
      <c r="N23" s="76"/>
      <c r="O23" s="74"/>
      <c r="P23" s="74"/>
      <c r="R23" s="8"/>
    </row>
    <row r="24" spans="1:18" x14ac:dyDescent="0.3">
      <c r="A24" s="100"/>
      <c r="B24" s="109"/>
      <c r="C24" s="132"/>
      <c r="D24" s="151"/>
      <c r="E24" s="62"/>
      <c r="F24" s="63"/>
      <c r="G24" s="64"/>
      <c r="H24" s="64"/>
      <c r="I24" s="65"/>
      <c r="J24" s="6"/>
      <c r="K24" s="67"/>
      <c r="L24" s="65"/>
      <c r="M24" s="6"/>
      <c r="N24" s="68"/>
      <c r="O24" s="6"/>
      <c r="P24" s="6"/>
      <c r="R24" s="8"/>
    </row>
    <row r="25" spans="1:18" x14ac:dyDescent="0.3">
      <c r="A25" s="167" t="s">
        <v>31</v>
      </c>
      <c r="B25" s="117" t="s">
        <v>32</v>
      </c>
      <c r="C25" s="130"/>
      <c r="D25" s="168"/>
      <c r="E25" s="71"/>
      <c r="F25" s="72"/>
      <c r="G25" s="72"/>
      <c r="H25" s="72"/>
      <c r="I25" s="73"/>
      <c r="J25" s="74"/>
      <c r="K25" s="75"/>
      <c r="L25" s="73"/>
      <c r="M25" s="74"/>
      <c r="N25" s="76"/>
      <c r="O25" s="74"/>
      <c r="P25" s="74"/>
      <c r="R25" s="8"/>
    </row>
    <row r="26" spans="1:18" x14ac:dyDescent="0.3">
      <c r="A26" s="100"/>
      <c r="B26" s="109"/>
      <c r="C26" s="132"/>
      <c r="D26" s="151"/>
      <c r="E26" s="62"/>
      <c r="F26" s="63"/>
      <c r="G26" s="64"/>
      <c r="H26" s="64"/>
      <c r="I26" s="65"/>
      <c r="J26" s="59"/>
      <c r="K26" s="67"/>
      <c r="L26" s="65"/>
      <c r="M26" s="59"/>
      <c r="N26" s="68"/>
      <c r="O26" s="6"/>
      <c r="P26" s="6"/>
      <c r="R26" s="8"/>
    </row>
    <row r="27" spans="1:18" x14ac:dyDescent="0.3">
      <c r="A27" s="167" t="s">
        <v>33</v>
      </c>
      <c r="B27" s="117" t="s">
        <v>34</v>
      </c>
      <c r="C27" s="130"/>
      <c r="D27" s="168"/>
      <c r="E27" s="71"/>
      <c r="F27" s="72"/>
      <c r="G27" s="72"/>
      <c r="H27" s="72"/>
      <c r="I27" s="73"/>
      <c r="J27" s="74"/>
      <c r="K27" s="75"/>
      <c r="L27" s="73"/>
      <c r="M27" s="74"/>
      <c r="N27" s="76"/>
      <c r="O27" s="74"/>
      <c r="P27" s="74"/>
      <c r="R27" s="8"/>
    </row>
    <row r="28" spans="1:18" ht="15" thickBot="1" x14ac:dyDescent="0.35">
      <c r="A28" s="100"/>
      <c r="B28" s="109"/>
      <c r="C28" s="132"/>
      <c r="D28" s="151"/>
      <c r="E28" s="62"/>
      <c r="F28" s="63"/>
      <c r="G28" s="64"/>
      <c r="H28" s="64"/>
      <c r="I28" s="65"/>
      <c r="J28" s="59"/>
      <c r="K28" s="67"/>
      <c r="L28" s="65"/>
      <c r="M28" s="59"/>
      <c r="N28" s="68"/>
      <c r="O28" s="6"/>
      <c r="P28" s="6"/>
      <c r="R28" s="8"/>
    </row>
    <row r="29" spans="1:18" ht="15" thickBot="1" x14ac:dyDescent="0.35">
      <c r="A29" s="190" t="s">
        <v>87</v>
      </c>
      <c r="B29" s="191"/>
      <c r="C29" s="188"/>
      <c r="D29" s="189"/>
      <c r="E29" s="192"/>
      <c r="F29" s="193"/>
      <c r="G29" s="193"/>
      <c r="H29" s="193"/>
      <c r="I29" s="194"/>
      <c r="J29" s="195"/>
      <c r="K29" s="196"/>
      <c r="L29" s="194"/>
      <c r="M29" s="195"/>
      <c r="N29" s="197"/>
      <c r="O29" s="195"/>
      <c r="P29" s="195"/>
      <c r="R29" s="8"/>
    </row>
    <row r="30" spans="1:18" x14ac:dyDescent="0.3">
      <c r="A30" s="167" t="s">
        <v>37</v>
      </c>
      <c r="B30" s="117" t="s">
        <v>38</v>
      </c>
      <c r="C30" s="130"/>
      <c r="D30" s="168"/>
      <c r="E30" s="71"/>
      <c r="F30" s="72"/>
      <c r="G30" s="72"/>
      <c r="H30" s="72"/>
      <c r="I30" s="73"/>
      <c r="J30" s="74"/>
      <c r="K30" s="75"/>
      <c r="L30" s="73"/>
      <c r="M30" s="74"/>
      <c r="N30" s="76"/>
      <c r="O30" s="74"/>
      <c r="P30" s="74"/>
      <c r="R30" s="8"/>
    </row>
    <row r="31" spans="1:18" x14ac:dyDescent="0.3">
      <c r="A31" s="100"/>
      <c r="B31" s="109"/>
      <c r="C31" s="132"/>
      <c r="D31" s="151"/>
      <c r="E31" s="62"/>
      <c r="F31" s="63"/>
      <c r="G31" s="64"/>
      <c r="H31" s="64"/>
      <c r="I31" s="65"/>
      <c r="J31" s="59"/>
      <c r="K31" s="67"/>
      <c r="L31" s="65"/>
      <c r="M31" s="59"/>
      <c r="N31" s="68"/>
      <c r="O31" s="6"/>
      <c r="P31" s="59"/>
      <c r="R31" s="8"/>
    </row>
    <row r="32" spans="1:18" x14ac:dyDescent="0.3">
      <c r="A32" s="167" t="s">
        <v>39</v>
      </c>
      <c r="B32" s="117" t="s">
        <v>40</v>
      </c>
      <c r="C32" s="130"/>
      <c r="D32" s="168"/>
      <c r="E32" s="71"/>
      <c r="F32" s="72"/>
      <c r="G32" s="72"/>
      <c r="H32" s="72"/>
      <c r="I32" s="73"/>
      <c r="J32" s="74"/>
      <c r="K32" s="75"/>
      <c r="L32" s="73"/>
      <c r="M32" s="74"/>
      <c r="N32" s="76"/>
      <c r="O32" s="74"/>
      <c r="P32" s="74"/>
      <c r="R32" s="8"/>
    </row>
    <row r="33" spans="1:18" x14ac:dyDescent="0.3">
      <c r="A33" s="102" t="s">
        <v>88</v>
      </c>
      <c r="B33" s="110" t="s">
        <v>89</v>
      </c>
      <c r="C33" s="165"/>
      <c r="D33" s="153"/>
      <c r="E33" s="93">
        <v>5</v>
      </c>
      <c r="F33" s="91">
        <v>5</v>
      </c>
      <c r="G33" s="95">
        <v>5</v>
      </c>
      <c r="H33" s="95">
        <v>2</v>
      </c>
      <c r="I33" s="96">
        <v>1</v>
      </c>
      <c r="J33" s="59">
        <f>(E33+F33+G33+H33+I33)/5</f>
        <v>3.6</v>
      </c>
      <c r="K33" s="97">
        <v>2.5</v>
      </c>
      <c r="L33" s="96">
        <v>1</v>
      </c>
      <c r="M33" s="59">
        <f>J33+K33+L33</f>
        <v>7.1</v>
      </c>
      <c r="N33" s="92" t="s">
        <v>23</v>
      </c>
      <c r="O33" s="59" t="e">
        <f>M33/N33</f>
        <v>#VALUE!</v>
      </c>
      <c r="P33" s="59" t="e">
        <f>O33+C33</f>
        <v>#VALUE!</v>
      </c>
      <c r="Q33" s="70" t="s">
        <v>24</v>
      </c>
      <c r="R33" s="8"/>
    </row>
    <row r="34" spans="1:18" x14ac:dyDescent="0.3">
      <c r="A34" s="102" t="s">
        <v>90</v>
      </c>
      <c r="B34" s="110" t="s">
        <v>91</v>
      </c>
      <c r="C34" s="165"/>
      <c r="D34" s="153"/>
      <c r="E34" s="93">
        <v>5</v>
      </c>
      <c r="F34" s="91">
        <v>5</v>
      </c>
      <c r="G34" s="95">
        <v>5</v>
      </c>
      <c r="H34" s="95">
        <v>5</v>
      </c>
      <c r="I34" s="96">
        <v>3</v>
      </c>
      <c r="J34" s="59">
        <f>(E34+F34+G34+H34+I34)/5</f>
        <v>4.5999999999999996</v>
      </c>
      <c r="K34" s="97">
        <v>4</v>
      </c>
      <c r="L34" s="96">
        <v>1</v>
      </c>
      <c r="M34" s="59">
        <f>J34+K34+L34</f>
        <v>9.6</v>
      </c>
      <c r="N34" s="92">
        <v>1</v>
      </c>
      <c r="O34" s="59">
        <f>M34/N34</f>
        <v>9.6</v>
      </c>
      <c r="P34" s="59">
        <f>O34+C34</f>
        <v>9.6</v>
      </c>
      <c r="Q34" s="70" t="s">
        <v>24</v>
      </c>
      <c r="R34" s="8"/>
    </row>
    <row r="35" spans="1:18" x14ac:dyDescent="0.3">
      <c r="A35" s="100"/>
      <c r="B35" s="118"/>
      <c r="C35" s="132"/>
      <c r="D35" s="151"/>
      <c r="E35" s="62"/>
      <c r="F35" s="63"/>
      <c r="G35" s="64"/>
      <c r="H35" s="64"/>
      <c r="I35" s="65"/>
      <c r="J35" s="6"/>
      <c r="K35" s="67"/>
      <c r="L35" s="65"/>
      <c r="M35" s="6"/>
      <c r="N35" s="68"/>
      <c r="O35" s="6"/>
      <c r="P35" s="6"/>
      <c r="R35" s="8"/>
    </row>
    <row r="36" spans="1:18" x14ac:dyDescent="0.3">
      <c r="A36" s="167" t="s">
        <v>41</v>
      </c>
      <c r="B36" s="117" t="s">
        <v>42</v>
      </c>
      <c r="C36" s="130"/>
      <c r="D36" s="168"/>
      <c r="E36" s="71"/>
      <c r="F36" s="72"/>
      <c r="G36" s="72"/>
      <c r="H36" s="72"/>
      <c r="I36" s="73"/>
      <c r="J36" s="74"/>
      <c r="K36" s="75"/>
      <c r="L36" s="73"/>
      <c r="M36" s="74"/>
      <c r="N36" s="76"/>
      <c r="O36" s="74"/>
      <c r="P36" s="74"/>
      <c r="R36" s="8"/>
    </row>
    <row r="37" spans="1:18" x14ac:dyDescent="0.3">
      <c r="A37" s="102" t="s">
        <v>92</v>
      </c>
      <c r="B37" s="110" t="s">
        <v>93</v>
      </c>
      <c r="C37" s="165"/>
      <c r="D37" s="153"/>
      <c r="E37" s="93">
        <v>4</v>
      </c>
      <c r="F37" s="91">
        <v>1</v>
      </c>
      <c r="G37" s="95">
        <v>5</v>
      </c>
      <c r="H37" s="95">
        <v>2.5</v>
      </c>
      <c r="I37" s="96">
        <v>5</v>
      </c>
      <c r="J37" s="59">
        <f>(E37+F37+G37+H37+I37)/5</f>
        <v>3.5</v>
      </c>
      <c r="K37" s="97">
        <v>2</v>
      </c>
      <c r="L37" s="96">
        <v>1</v>
      </c>
      <c r="M37" s="59">
        <f>J37+K37+L37</f>
        <v>6.5</v>
      </c>
      <c r="N37" s="92" t="s">
        <v>23</v>
      </c>
      <c r="O37" s="59" t="e">
        <f>M37/N37</f>
        <v>#VALUE!</v>
      </c>
      <c r="P37" s="59" t="e">
        <f>O37+C37</f>
        <v>#VALUE!</v>
      </c>
      <c r="Q37" s="70" t="s">
        <v>94</v>
      </c>
      <c r="R37" s="8"/>
    </row>
    <row r="38" spans="1:18" x14ac:dyDescent="0.3">
      <c r="A38" s="100" t="s">
        <v>95</v>
      </c>
      <c r="B38" s="118" t="s">
        <v>96</v>
      </c>
      <c r="C38" s="132"/>
      <c r="D38" s="151"/>
      <c r="E38" s="62"/>
      <c r="F38" s="63"/>
      <c r="G38" s="64"/>
      <c r="H38" s="64"/>
      <c r="I38" s="65"/>
      <c r="J38" s="6">
        <f>(E38+F38+G38+H38+I38)/5</f>
        <v>0</v>
      </c>
      <c r="K38" s="67"/>
      <c r="L38" s="65"/>
      <c r="M38" s="6">
        <f>J38+K38+L38</f>
        <v>0</v>
      </c>
      <c r="N38" s="68"/>
      <c r="O38" s="6" t="e">
        <f>M38/N38</f>
        <v>#DIV/0!</v>
      </c>
      <c r="P38" s="6" t="e">
        <f>O38+C38</f>
        <v>#DIV/0!</v>
      </c>
      <c r="Q38" s="230" t="s">
        <v>97</v>
      </c>
      <c r="R38" s="8"/>
    </row>
    <row r="39" spans="1:18" x14ac:dyDescent="0.3">
      <c r="A39" s="100"/>
      <c r="B39" s="109"/>
      <c r="C39" s="132"/>
      <c r="D39" s="151"/>
      <c r="E39" s="62"/>
      <c r="F39" s="63"/>
      <c r="G39" s="64"/>
      <c r="H39" s="64"/>
      <c r="I39" s="65"/>
      <c r="J39" s="6"/>
      <c r="K39" s="67"/>
      <c r="L39" s="65"/>
      <c r="M39" s="6"/>
      <c r="N39" s="68"/>
      <c r="O39" s="6"/>
      <c r="P39" s="6"/>
      <c r="R39" s="8"/>
    </row>
    <row r="40" spans="1:18" x14ac:dyDescent="0.3">
      <c r="A40" s="167" t="s">
        <v>43</v>
      </c>
      <c r="B40" s="117" t="s">
        <v>44</v>
      </c>
      <c r="C40" s="130"/>
      <c r="D40" s="168"/>
      <c r="E40" s="71"/>
      <c r="F40" s="72"/>
      <c r="G40" s="72"/>
      <c r="H40" s="72"/>
      <c r="I40" s="73"/>
      <c r="J40" s="74"/>
      <c r="K40" s="75"/>
      <c r="L40" s="73"/>
      <c r="M40" s="74"/>
      <c r="N40" s="76"/>
      <c r="O40" s="74"/>
      <c r="P40" s="74"/>
      <c r="R40" s="8"/>
    </row>
    <row r="41" spans="1:18" x14ac:dyDescent="0.3">
      <c r="A41" s="100" t="s">
        <v>98</v>
      </c>
      <c r="B41" s="118" t="s">
        <v>99</v>
      </c>
      <c r="C41" s="132"/>
      <c r="D41" s="151"/>
      <c r="E41" s="62"/>
      <c r="F41" s="63"/>
      <c r="G41" s="64"/>
      <c r="H41" s="64"/>
      <c r="I41" s="65"/>
      <c r="J41" s="6">
        <f>(E41+F41+G41+H41+I41)/5</f>
        <v>0</v>
      </c>
      <c r="K41" s="67"/>
      <c r="L41" s="65"/>
      <c r="M41" s="6">
        <f>J41+K41+L41</f>
        <v>0</v>
      </c>
      <c r="N41" s="68"/>
      <c r="O41" s="6" t="e">
        <f>M41/N41</f>
        <v>#DIV/0!</v>
      </c>
      <c r="P41" s="6" t="e">
        <f>O41+C41</f>
        <v>#DIV/0!</v>
      </c>
      <c r="Q41" s="230" t="s">
        <v>97</v>
      </c>
      <c r="R41" s="8"/>
    </row>
    <row r="42" spans="1:18" ht="15" thickBot="1" x14ac:dyDescent="0.35">
      <c r="A42" s="100"/>
      <c r="B42" s="109"/>
      <c r="C42" s="132"/>
      <c r="D42" s="151"/>
      <c r="E42" s="62"/>
      <c r="F42" s="63"/>
      <c r="G42" s="64"/>
      <c r="H42" s="64"/>
      <c r="I42" s="65"/>
      <c r="J42" s="66"/>
      <c r="K42" s="67"/>
      <c r="L42" s="65"/>
      <c r="M42" s="66"/>
      <c r="N42" s="68"/>
      <c r="O42" s="66"/>
      <c r="P42" s="66"/>
      <c r="R42" s="8"/>
    </row>
    <row r="43" spans="1:18" ht="15" thickBot="1" x14ac:dyDescent="0.35">
      <c r="A43" s="190" t="s">
        <v>100</v>
      </c>
      <c r="B43" s="191"/>
      <c r="C43" s="188"/>
      <c r="D43" s="189"/>
      <c r="E43" s="192"/>
      <c r="F43" s="193"/>
      <c r="G43" s="193"/>
      <c r="H43" s="193"/>
      <c r="I43" s="194"/>
      <c r="J43" s="195"/>
      <c r="K43" s="196"/>
      <c r="L43" s="194"/>
      <c r="M43" s="195"/>
      <c r="N43" s="197"/>
      <c r="O43" s="195"/>
      <c r="P43" s="195"/>
      <c r="R43" s="8"/>
    </row>
    <row r="44" spans="1:18" x14ac:dyDescent="0.3">
      <c r="A44" s="167" t="s">
        <v>45</v>
      </c>
      <c r="B44" s="117" t="s">
        <v>46</v>
      </c>
      <c r="C44" s="130"/>
      <c r="D44" s="168"/>
      <c r="E44" s="71"/>
      <c r="F44" s="72"/>
      <c r="G44" s="72"/>
      <c r="H44" s="72"/>
      <c r="I44" s="73"/>
      <c r="J44" s="74"/>
      <c r="K44" s="75"/>
      <c r="L44" s="73"/>
      <c r="M44" s="74"/>
      <c r="N44" s="76"/>
      <c r="O44" s="74"/>
      <c r="P44" s="74"/>
      <c r="R44" s="8"/>
    </row>
    <row r="45" spans="1:18" x14ac:dyDescent="0.3">
      <c r="A45" s="102" t="s">
        <v>47</v>
      </c>
      <c r="B45" s="110" t="s">
        <v>48</v>
      </c>
      <c r="C45" s="165"/>
      <c r="D45" s="153"/>
      <c r="E45" s="93">
        <v>1</v>
      </c>
      <c r="F45" s="91">
        <v>5</v>
      </c>
      <c r="G45" s="95">
        <v>5</v>
      </c>
      <c r="H45" s="95">
        <v>5</v>
      </c>
      <c r="I45" s="96">
        <v>2</v>
      </c>
      <c r="J45" s="59">
        <f>(E45+F45+G45+H45+I45)/5</f>
        <v>3.6</v>
      </c>
      <c r="K45" s="97">
        <v>1.5</v>
      </c>
      <c r="L45" s="96">
        <v>1</v>
      </c>
      <c r="M45" s="59">
        <f>J45+K45+L45</f>
        <v>6.1</v>
      </c>
      <c r="N45" s="92">
        <v>1.5</v>
      </c>
      <c r="O45" s="59">
        <f>M45/N45</f>
        <v>4.0666666666666664</v>
      </c>
      <c r="P45" s="59">
        <f>O45+C45</f>
        <v>4.0666666666666664</v>
      </c>
      <c r="Q45" s="70"/>
      <c r="R45" s="94"/>
    </row>
    <row r="46" spans="1:18" x14ac:dyDescent="0.3">
      <c r="A46" s="100"/>
      <c r="B46" s="109"/>
      <c r="C46" s="132"/>
      <c r="D46" s="151"/>
      <c r="E46" s="62"/>
      <c r="F46" s="63"/>
      <c r="G46" s="64"/>
      <c r="H46" s="64"/>
      <c r="I46" s="65"/>
      <c r="J46" s="6"/>
      <c r="K46" s="67"/>
      <c r="L46" s="65"/>
      <c r="M46" s="6"/>
      <c r="N46" s="68"/>
      <c r="O46" s="6"/>
      <c r="P46" s="6"/>
      <c r="R46" s="8"/>
    </row>
    <row r="47" spans="1:18" x14ac:dyDescent="0.3">
      <c r="A47" s="167" t="s">
        <v>49</v>
      </c>
      <c r="B47" s="117" t="s">
        <v>50</v>
      </c>
      <c r="C47" s="130"/>
      <c r="D47" s="168"/>
      <c r="E47" s="71"/>
      <c r="F47" s="72"/>
      <c r="G47" s="72"/>
      <c r="H47" s="72"/>
      <c r="I47" s="73"/>
      <c r="J47" s="74"/>
      <c r="K47" s="75"/>
      <c r="L47" s="73"/>
      <c r="M47" s="74"/>
      <c r="N47" s="76"/>
      <c r="O47" s="74"/>
      <c r="P47" s="74"/>
      <c r="R47" s="8"/>
    </row>
    <row r="48" spans="1:18" x14ac:dyDescent="0.3">
      <c r="A48" s="100"/>
      <c r="B48" s="109"/>
      <c r="C48" s="132"/>
      <c r="D48" s="151"/>
      <c r="E48" s="62"/>
      <c r="F48" s="63"/>
      <c r="G48" s="64"/>
      <c r="H48" s="64"/>
      <c r="I48" s="65"/>
      <c r="J48" s="59"/>
      <c r="K48" s="67"/>
      <c r="L48" s="65"/>
      <c r="M48" s="59"/>
      <c r="N48" s="68"/>
      <c r="O48" s="59"/>
      <c r="P48" s="59"/>
      <c r="R48" s="8"/>
    </row>
    <row r="49" spans="1:18" x14ac:dyDescent="0.3">
      <c r="A49" s="167" t="s">
        <v>51</v>
      </c>
      <c r="B49" s="117" t="s">
        <v>52</v>
      </c>
      <c r="C49" s="130"/>
      <c r="D49" s="168"/>
      <c r="E49" s="71"/>
      <c r="F49" s="72"/>
      <c r="G49" s="72"/>
      <c r="H49" s="72"/>
      <c r="I49" s="73"/>
      <c r="J49" s="74"/>
      <c r="K49" s="75"/>
      <c r="L49" s="73"/>
      <c r="M49" s="74"/>
      <c r="N49" s="76"/>
      <c r="O49" s="74"/>
      <c r="P49" s="74"/>
      <c r="R49" s="8"/>
    </row>
    <row r="50" spans="1:18" x14ac:dyDescent="0.3">
      <c r="A50" s="102" t="s">
        <v>98</v>
      </c>
      <c r="B50" s="110" t="s">
        <v>99</v>
      </c>
      <c r="C50" s="165"/>
      <c r="D50" s="153"/>
      <c r="E50" s="93"/>
      <c r="F50" s="91"/>
      <c r="G50" s="95"/>
      <c r="H50" s="95"/>
      <c r="I50" s="96"/>
      <c r="J50" s="59">
        <f>(E50+F50+G50+H50+I50)/5</f>
        <v>0</v>
      </c>
      <c r="K50" s="97"/>
      <c r="L50" s="96"/>
      <c r="M50" s="59">
        <f>J50+K50+L50</f>
        <v>0</v>
      </c>
      <c r="N50" s="92"/>
      <c r="O50" s="59" t="e">
        <f>M50/N50</f>
        <v>#DIV/0!</v>
      </c>
      <c r="P50" s="59" t="e">
        <f>O50+C50</f>
        <v>#DIV/0!</v>
      </c>
      <c r="Q50" s="70" t="s">
        <v>101</v>
      </c>
      <c r="R50" s="8"/>
    </row>
    <row r="51" spans="1:18" x14ac:dyDescent="0.3">
      <c r="A51" s="100"/>
      <c r="B51" s="109"/>
      <c r="C51" s="132"/>
      <c r="D51" s="151"/>
      <c r="E51" s="62"/>
      <c r="F51" s="63"/>
      <c r="G51" s="64"/>
      <c r="H51" s="64"/>
      <c r="I51" s="170"/>
      <c r="J51" s="171"/>
      <c r="K51" s="172"/>
      <c r="L51" s="170"/>
      <c r="M51" s="171"/>
      <c r="N51" s="173"/>
      <c r="O51" s="171"/>
      <c r="P51" s="171"/>
      <c r="R51" s="8"/>
    </row>
    <row r="52" spans="1:18" x14ac:dyDescent="0.3">
      <c r="A52" s="99" t="s">
        <v>53</v>
      </c>
      <c r="B52" s="117" t="s">
        <v>54</v>
      </c>
      <c r="C52" s="130"/>
      <c r="D52" s="148"/>
      <c r="E52" s="71"/>
      <c r="F52" s="72"/>
      <c r="G52" s="72"/>
      <c r="H52" s="73"/>
      <c r="I52" s="86"/>
      <c r="J52" s="86"/>
      <c r="K52" s="86"/>
      <c r="L52" s="86"/>
      <c r="M52" s="86"/>
      <c r="N52" s="86"/>
      <c r="O52" s="86"/>
      <c r="P52" s="86"/>
      <c r="R52" s="8"/>
    </row>
    <row r="53" spans="1:18" x14ac:dyDescent="0.3">
      <c r="A53" s="102" t="s">
        <v>102</v>
      </c>
      <c r="B53" s="169" t="s">
        <v>103</v>
      </c>
      <c r="C53" s="165"/>
      <c r="D53" s="153"/>
      <c r="E53" s="93"/>
      <c r="F53" s="91"/>
      <c r="G53" s="95"/>
      <c r="H53" s="95"/>
      <c r="I53" s="96"/>
      <c r="J53" s="59">
        <f>(E53+F53+G53+H53+I53)/5</f>
        <v>0</v>
      </c>
      <c r="K53" s="97"/>
      <c r="L53" s="96"/>
      <c r="M53" s="59">
        <f>J53+K53+L53</f>
        <v>0</v>
      </c>
      <c r="N53" s="92"/>
      <c r="O53" s="59" t="e">
        <f>M53/N53</f>
        <v>#DIV/0!</v>
      </c>
      <c r="P53" s="59" t="e">
        <f>O53+C53</f>
        <v>#DIV/0!</v>
      </c>
      <c r="R53" s="8"/>
    </row>
    <row r="54" spans="1:18" ht="15" thickBot="1" x14ac:dyDescent="0.35">
      <c r="A54" s="100"/>
      <c r="B54" s="115"/>
      <c r="C54" s="132"/>
      <c r="D54" s="151"/>
      <c r="E54" s="62"/>
      <c r="F54" s="63"/>
      <c r="G54" s="64"/>
      <c r="H54" s="64"/>
      <c r="I54" s="65"/>
      <c r="J54" s="66"/>
      <c r="K54" s="67"/>
      <c r="L54" s="65"/>
      <c r="M54" s="66"/>
      <c r="N54" s="68"/>
      <c r="O54" s="66"/>
      <c r="P54" s="265"/>
      <c r="R54" s="8"/>
    </row>
    <row r="55" spans="1:18" ht="15" thickBot="1" x14ac:dyDescent="0.35">
      <c r="A55" s="190" t="s">
        <v>104</v>
      </c>
      <c r="B55" s="191"/>
      <c r="C55" s="188"/>
      <c r="D55" s="189"/>
      <c r="E55" s="192"/>
      <c r="F55" s="193"/>
      <c r="G55" s="193"/>
      <c r="H55" s="193"/>
      <c r="I55" s="194"/>
      <c r="J55" s="195"/>
      <c r="K55" s="196"/>
      <c r="L55" s="194"/>
      <c r="M55" s="195"/>
      <c r="N55" s="197"/>
      <c r="O55" s="195"/>
      <c r="P55" s="195"/>
      <c r="R55" s="8"/>
    </row>
    <row r="56" spans="1:18" x14ac:dyDescent="0.3">
      <c r="A56" s="99" t="s">
        <v>55</v>
      </c>
      <c r="B56" s="117" t="s">
        <v>56</v>
      </c>
      <c r="C56" s="130"/>
      <c r="D56" s="148"/>
      <c r="E56" s="71"/>
      <c r="F56" s="72"/>
      <c r="G56" s="72"/>
      <c r="H56" s="72"/>
      <c r="I56" s="73"/>
      <c r="J56" s="74"/>
      <c r="K56" s="75"/>
      <c r="L56" s="73"/>
      <c r="M56" s="74"/>
      <c r="N56" s="76"/>
      <c r="O56" s="74"/>
      <c r="P56" s="74"/>
      <c r="R56" s="8"/>
    </row>
    <row r="57" spans="1:18" x14ac:dyDescent="0.3">
      <c r="A57" s="102" t="s">
        <v>105</v>
      </c>
      <c r="B57" s="231" t="s">
        <v>106</v>
      </c>
      <c r="C57" s="165"/>
      <c r="D57" s="153"/>
      <c r="E57" s="93">
        <v>4</v>
      </c>
      <c r="F57" s="91">
        <v>5</v>
      </c>
      <c r="G57" s="95">
        <v>5</v>
      </c>
      <c r="H57" s="95">
        <v>4</v>
      </c>
      <c r="I57" s="96">
        <v>5</v>
      </c>
      <c r="J57" s="59">
        <f t="shared" ref="J57" si="0">(E57+F57+G57+H57+I57)/5</f>
        <v>4.5999999999999996</v>
      </c>
      <c r="K57" s="97">
        <v>3</v>
      </c>
      <c r="L57" s="96">
        <v>4</v>
      </c>
      <c r="M57" s="59">
        <f t="shared" ref="M57" si="1">J57+K57+L57</f>
        <v>11.6</v>
      </c>
      <c r="N57" s="92">
        <v>1</v>
      </c>
      <c r="O57" s="59">
        <f t="shared" ref="O57" si="2">M57/N57</f>
        <v>11.6</v>
      </c>
      <c r="P57" s="69">
        <f t="shared" ref="P57" si="3">O57+C57</f>
        <v>11.6</v>
      </c>
      <c r="R57" s="8"/>
    </row>
    <row r="58" spans="1:18" x14ac:dyDescent="0.3">
      <c r="A58" s="100"/>
      <c r="B58" s="109"/>
      <c r="C58" s="132"/>
      <c r="D58" s="151"/>
      <c r="E58" s="62"/>
      <c r="F58" s="63"/>
      <c r="G58" s="64"/>
      <c r="H58" s="64"/>
      <c r="I58" s="65"/>
      <c r="J58" s="69"/>
      <c r="K58" s="67"/>
      <c r="L58" s="65"/>
      <c r="M58" s="69"/>
      <c r="N58" s="68"/>
      <c r="O58" s="69"/>
      <c r="P58" s="69"/>
      <c r="R58" s="8"/>
    </row>
    <row r="59" spans="1:18" x14ac:dyDescent="0.3">
      <c r="A59" s="99" t="s">
        <v>57</v>
      </c>
      <c r="B59" s="117" t="s">
        <v>58</v>
      </c>
      <c r="C59" s="130"/>
      <c r="D59" s="148"/>
      <c r="E59" s="71"/>
      <c r="F59" s="72"/>
      <c r="G59" s="72"/>
      <c r="H59" s="72"/>
      <c r="I59" s="73"/>
      <c r="J59" s="74"/>
      <c r="K59" s="75"/>
      <c r="L59" s="73"/>
      <c r="M59" s="74"/>
      <c r="N59" s="76"/>
      <c r="O59" s="74"/>
      <c r="P59" s="74"/>
      <c r="R59" s="8"/>
    </row>
    <row r="60" spans="1:18" x14ac:dyDescent="0.3">
      <c r="A60" s="100"/>
      <c r="B60" s="118"/>
      <c r="C60" s="131"/>
      <c r="D60" s="149"/>
      <c r="E60" s="62"/>
      <c r="F60" s="63"/>
      <c r="G60" s="64"/>
      <c r="H60" s="64"/>
      <c r="I60" s="65"/>
      <c r="J60" s="66"/>
      <c r="K60" s="67"/>
      <c r="L60" s="65"/>
      <c r="M60" s="66"/>
      <c r="N60" s="68"/>
      <c r="O60" s="66"/>
      <c r="P60" s="69"/>
      <c r="R60" s="8"/>
    </row>
    <row r="61" spans="1:18" x14ac:dyDescent="0.3">
      <c r="A61" s="99" t="s">
        <v>59</v>
      </c>
      <c r="B61" s="117" t="s">
        <v>60</v>
      </c>
      <c r="C61" s="130"/>
      <c r="D61" s="150"/>
      <c r="E61" s="71"/>
      <c r="F61" s="72"/>
      <c r="G61" s="72"/>
      <c r="H61" s="72"/>
      <c r="I61" s="73"/>
      <c r="J61" s="74"/>
      <c r="K61" s="75"/>
      <c r="L61" s="73"/>
      <c r="M61" s="74"/>
      <c r="N61" s="76"/>
      <c r="O61" s="74"/>
      <c r="P61" s="141"/>
      <c r="R61" s="8"/>
    </row>
    <row r="62" spans="1:18" ht="15" thickBot="1" x14ac:dyDescent="0.35">
      <c r="A62" s="100"/>
      <c r="B62" s="164"/>
      <c r="C62" s="132"/>
      <c r="D62" s="149"/>
      <c r="E62" s="62"/>
      <c r="F62" s="63"/>
      <c r="G62" s="64"/>
      <c r="H62" s="64"/>
      <c r="I62" s="65"/>
      <c r="J62" s="6"/>
      <c r="K62" s="67"/>
      <c r="L62" s="65"/>
      <c r="M62" s="6"/>
      <c r="N62" s="68"/>
      <c r="O62" s="6"/>
      <c r="P62" s="69"/>
      <c r="R62" s="8"/>
    </row>
    <row r="63" spans="1:18" x14ac:dyDescent="0.3">
      <c r="A63" s="99" t="s">
        <v>61</v>
      </c>
      <c r="B63" s="117" t="s">
        <v>62</v>
      </c>
      <c r="C63" s="130"/>
      <c r="D63" s="150"/>
      <c r="E63" s="71"/>
      <c r="F63" s="72"/>
      <c r="G63" s="72"/>
      <c r="H63" s="72"/>
      <c r="I63" s="73"/>
      <c r="J63" s="74"/>
      <c r="K63" s="75"/>
      <c r="L63" s="73"/>
      <c r="M63" s="74"/>
      <c r="N63" s="76"/>
      <c r="O63" s="74"/>
      <c r="P63" s="141"/>
      <c r="R63" s="8"/>
    </row>
    <row r="64" spans="1:18" x14ac:dyDescent="0.3">
      <c r="A64" s="100"/>
      <c r="B64" s="118"/>
      <c r="C64" s="131"/>
      <c r="D64" s="149"/>
      <c r="E64" s="62"/>
      <c r="F64" s="63"/>
      <c r="G64" s="64"/>
      <c r="H64" s="64"/>
      <c r="I64" s="65"/>
      <c r="J64" s="66"/>
      <c r="K64" s="67"/>
      <c r="L64" s="65"/>
      <c r="M64" s="66"/>
      <c r="N64" s="68"/>
      <c r="O64" s="66"/>
      <c r="P64" s="69"/>
      <c r="R64" s="8"/>
    </row>
    <row r="65" spans="1:18" x14ac:dyDescent="0.3">
      <c r="A65" s="99" t="s">
        <v>67</v>
      </c>
      <c r="B65" s="117" t="s">
        <v>68</v>
      </c>
      <c r="C65" s="130"/>
      <c r="D65" s="150"/>
      <c r="E65" s="71"/>
      <c r="F65" s="72"/>
      <c r="G65" s="72"/>
      <c r="H65" s="72"/>
      <c r="I65" s="73"/>
      <c r="J65" s="74"/>
      <c r="K65" s="75"/>
      <c r="L65" s="73">
        <v>2</v>
      </c>
      <c r="M65" s="74"/>
      <c r="N65" s="76"/>
      <c r="O65" s="74"/>
      <c r="P65" s="141"/>
      <c r="R65" s="8"/>
    </row>
    <row r="66" spans="1:18" x14ac:dyDescent="0.3">
      <c r="A66" s="100"/>
      <c r="B66" s="109"/>
      <c r="C66" s="132"/>
      <c r="D66" s="151"/>
      <c r="E66" s="62"/>
      <c r="F66" s="63"/>
      <c r="G66" s="64"/>
      <c r="H66" s="64"/>
      <c r="I66" s="65"/>
      <c r="J66" s="6"/>
      <c r="K66" s="67"/>
      <c r="L66" s="65"/>
      <c r="M66" s="66"/>
      <c r="N66" s="68"/>
      <c r="O66" s="66"/>
      <c r="P66" s="69">
        <f t="shared" ref="P66" si="4">O66+C66</f>
        <v>0</v>
      </c>
      <c r="R66" s="8"/>
    </row>
    <row r="67" spans="1:18" x14ac:dyDescent="0.3">
      <c r="A67" s="99" t="s">
        <v>69</v>
      </c>
      <c r="B67" s="111"/>
      <c r="C67" s="133"/>
      <c r="D67" s="148"/>
      <c r="E67" s="71"/>
      <c r="F67" s="72"/>
      <c r="G67" s="72"/>
      <c r="H67" s="72"/>
      <c r="I67" s="73"/>
      <c r="J67" s="77"/>
      <c r="K67" s="75"/>
      <c r="L67" s="73"/>
      <c r="M67" s="74"/>
      <c r="N67" s="76"/>
      <c r="O67" s="74"/>
      <c r="P67" s="141"/>
      <c r="R67" s="8"/>
    </row>
    <row r="68" spans="1:18" x14ac:dyDescent="0.3">
      <c r="A68" s="101"/>
      <c r="B68" s="112"/>
      <c r="C68" s="134"/>
      <c r="D68" s="152"/>
      <c r="E68" s="62"/>
      <c r="F68" s="63"/>
      <c r="G68" s="64"/>
      <c r="H68" s="64"/>
      <c r="I68" s="65"/>
      <c r="J68" s="6"/>
      <c r="K68" s="67"/>
      <c r="L68" s="65"/>
      <c r="M68" s="6"/>
      <c r="N68" s="68"/>
      <c r="O68" s="6"/>
      <c r="P68" s="69"/>
      <c r="R68" s="8"/>
    </row>
    <row r="69" spans="1:18" x14ac:dyDescent="0.3">
      <c r="A69" s="99" t="s">
        <v>70</v>
      </c>
      <c r="B69" s="113"/>
      <c r="C69" s="133"/>
      <c r="D69" s="148"/>
      <c r="E69" s="78"/>
      <c r="F69" s="79"/>
      <c r="G69" s="80"/>
      <c r="H69" s="80"/>
      <c r="I69" s="81"/>
      <c r="J69" s="82"/>
      <c r="K69" s="83"/>
      <c r="L69" s="81"/>
      <c r="M69" s="77"/>
      <c r="N69" s="84"/>
      <c r="O69" s="77"/>
      <c r="P69" s="141"/>
      <c r="R69" s="8"/>
    </row>
    <row r="70" spans="1:18" x14ac:dyDescent="0.3">
      <c r="A70" s="101"/>
      <c r="B70" s="114"/>
      <c r="C70" s="134"/>
      <c r="D70" s="152"/>
      <c r="E70" s="50"/>
      <c r="F70" s="55"/>
      <c r="G70" s="51"/>
      <c r="H70" s="51"/>
      <c r="I70" s="52"/>
      <c r="J70" s="6"/>
      <c r="K70" s="53"/>
      <c r="L70" s="52"/>
      <c r="M70" s="6"/>
      <c r="N70" s="54"/>
      <c r="O70" s="6"/>
      <c r="P70" s="69"/>
      <c r="R70" s="8"/>
    </row>
    <row r="71" spans="1:18" x14ac:dyDescent="0.3">
      <c r="A71" s="103" t="s">
        <v>71</v>
      </c>
      <c r="B71" s="113"/>
      <c r="C71" s="135"/>
      <c r="D71" s="154"/>
      <c r="E71" s="78"/>
      <c r="F71" s="79"/>
      <c r="G71" s="80"/>
      <c r="H71" s="80"/>
      <c r="I71" s="81"/>
      <c r="J71" s="77"/>
      <c r="K71" s="83"/>
      <c r="L71" s="81"/>
      <c r="M71" s="77"/>
      <c r="N71" s="84"/>
      <c r="O71" s="77"/>
      <c r="P71" s="141"/>
      <c r="R71" s="8"/>
    </row>
    <row r="72" spans="1:18" outlineLevel="1" x14ac:dyDescent="0.3">
      <c r="A72" s="104"/>
      <c r="B72" s="115"/>
      <c r="C72" s="136"/>
      <c r="D72" s="155"/>
      <c r="E72" s="10"/>
      <c r="F72" s="3"/>
      <c r="G72" s="2"/>
      <c r="H72" s="2"/>
      <c r="I72" s="4"/>
      <c r="J72" s="6"/>
      <c r="K72" s="5"/>
      <c r="L72" s="4"/>
      <c r="M72" s="6"/>
      <c r="N72" s="7"/>
      <c r="O72" s="6"/>
      <c r="P72" s="69"/>
      <c r="R72" s="9"/>
    </row>
    <row r="73" spans="1:18" outlineLevel="1" x14ac:dyDescent="0.3">
      <c r="A73" s="105" t="s">
        <v>72</v>
      </c>
      <c r="B73" s="120"/>
      <c r="C73" s="137"/>
      <c r="D73" s="156"/>
      <c r="E73" s="85"/>
      <c r="F73" s="86"/>
      <c r="G73" s="86"/>
      <c r="H73" s="86"/>
      <c r="I73" s="87"/>
      <c r="J73" s="77"/>
      <c r="K73" s="88"/>
      <c r="L73" s="87"/>
      <c r="M73" s="77"/>
      <c r="N73" s="89"/>
      <c r="O73" s="77"/>
      <c r="P73" s="141"/>
      <c r="R73" s="9"/>
    </row>
    <row r="74" spans="1:18" outlineLevel="1" x14ac:dyDescent="0.3">
      <c r="A74" s="106"/>
      <c r="B74" s="115"/>
      <c r="C74" s="136"/>
      <c r="D74" s="157"/>
      <c r="E74" s="10"/>
      <c r="F74" s="3"/>
      <c r="G74" s="2"/>
      <c r="H74" s="2"/>
      <c r="I74" s="4"/>
      <c r="J74" s="6"/>
      <c r="K74" s="5"/>
      <c r="L74" s="4"/>
      <c r="M74" s="6"/>
      <c r="N74" s="7"/>
      <c r="O74" s="6"/>
      <c r="P74" s="69"/>
      <c r="R74" s="9"/>
    </row>
    <row r="75" spans="1:18" outlineLevel="1" x14ac:dyDescent="0.3">
      <c r="A75" s="105" t="s">
        <v>73</v>
      </c>
      <c r="B75" s="116"/>
      <c r="C75" s="138"/>
      <c r="D75" s="156"/>
      <c r="E75" s="85"/>
      <c r="F75" s="86"/>
      <c r="G75" s="86"/>
      <c r="H75" s="86"/>
      <c r="I75" s="87"/>
      <c r="J75" s="77"/>
      <c r="K75" s="88"/>
      <c r="L75" s="87"/>
      <c r="M75" s="77"/>
      <c r="N75" s="89"/>
      <c r="O75" s="77"/>
      <c r="P75" s="141"/>
      <c r="R75" s="9"/>
    </row>
    <row r="76" spans="1:18" ht="15" thickBot="1" x14ac:dyDescent="0.35">
      <c r="A76" s="142"/>
      <c r="B76" s="143"/>
      <c r="C76" s="161"/>
      <c r="D76" s="160"/>
      <c r="E76" s="144"/>
      <c r="F76" s="60"/>
      <c r="G76" s="145"/>
      <c r="H76" s="145"/>
      <c r="I76" s="146"/>
      <c r="J76" s="123"/>
      <c r="K76" s="147"/>
      <c r="L76" s="146"/>
      <c r="M76" s="124"/>
      <c r="N76" s="61"/>
      <c r="O76" s="59"/>
      <c r="P76" s="69"/>
      <c r="R76" s="13"/>
    </row>
    <row r="77" spans="1:18" x14ac:dyDescent="0.3">
      <c r="B77" s="49"/>
      <c r="C77" s="49"/>
      <c r="H77" s="14"/>
      <c r="K77" s="15"/>
      <c r="L77" s="14"/>
      <c r="N77" s="14"/>
    </row>
  </sheetData>
  <hyperlinks>
    <hyperlink ref="B65" r:id="rId1" display="https://prospects.atlassian.net/browse/WEB-25832" xr:uid="{3B5981F0-18A2-4205-8885-E8E224C13B57}"/>
    <hyperlink ref="B63" r:id="rId2" display="https://prospects.atlassian.net/browse/WEB-25853" xr:uid="{1543C53A-E02B-48EE-86D8-6ACE65908B23}"/>
    <hyperlink ref="B61" r:id="rId3" display="https://prospects.atlassian.net/browse/WEB-25900" xr:uid="{84CB09C2-43AF-4476-B2D7-97E7A17C75DF}"/>
    <hyperlink ref="B59" r:id="rId4" display="https://prospects.atlassian.net/browse/WEB-25932" xr:uid="{53AD3717-D779-4F25-89BA-BEE73CA9F2E1}"/>
    <hyperlink ref="B56" r:id="rId5" display="https://prospects.atlassian.net/browse/WEB-26002" xr:uid="{F12FF15D-94AB-44B9-BBB8-DD360AE015B4}"/>
    <hyperlink ref="B57" r:id="rId6" display="https://prospects.atlassian.net/browse/MOB-9384 " xr:uid="{8643326D-7169-44C9-9A2B-355824B647CB}"/>
    <hyperlink ref="B52" r:id="rId7" display="https://prospects.atlassian.net/browse/WEB-26034" xr:uid="{6F9F30C3-C8CA-49A5-8212-5E22E5759A99}"/>
    <hyperlink ref="B53" r:id="rId8" display="https://prospects.atlassian.net/browse/MOB-9421" xr:uid="{26782E51-BED2-41D0-A006-2A374E680F47}"/>
    <hyperlink ref="B49" r:id="rId9" display="https://prospects.atlassian.net/browse/WEB-26116" xr:uid="{5CD69C72-356A-4F0C-B573-8CC47FFB14EB}"/>
    <hyperlink ref="B50" r:id="rId10" display="https://prospects.atlassian.net/browse/MOB-9391" xr:uid="{BB56ACF8-C933-4FF3-B311-8428E532C34F}"/>
    <hyperlink ref="B47" r:id="rId11" display="https://prospects.atlassian.net/browse/WEB-26130" xr:uid="{CEB62861-3600-4D4C-B753-D207181A6BE1}"/>
    <hyperlink ref="B44" r:id="rId12" display="https://prospects.atlassian.net/browse/WEB-26140" xr:uid="{EB1C94A8-147A-415F-AADA-D01BBF0E20D5}"/>
    <hyperlink ref="B45" r:id="rId13" display="https://prospects.atlassian.net/browse/MOB-9479" xr:uid="{6FA18D48-8605-42FB-B20B-0D612002ACFE}"/>
    <hyperlink ref="B40" r:id="rId14" display="https://prospects.atlassian.net/browse/WEB-26180" xr:uid="{D57B19EC-659D-41CB-B3EF-88ED3440A2E9}"/>
    <hyperlink ref="B41" r:id="rId15" display="https://prospects.atlassian.net/browse/MOB-9391" xr:uid="{A48A8560-E47E-4E5C-A759-BBC0822512F2}"/>
    <hyperlink ref="B36" r:id="rId16" display="https://prospects.atlassian.net/browse/WEB-26246" xr:uid="{71236753-93C4-49D3-8770-E169D4648C9E}"/>
    <hyperlink ref="B37" r:id="rId17" display="https://prospects.atlassian.net/browse/MOB-9492" xr:uid="{96F17C01-3641-4EFB-BA38-64EE2A9F32B2}"/>
    <hyperlink ref="B38" r:id="rId18" display="https://prospects.atlassian.net/browse/MOB-9493" xr:uid="{EE5D8447-EF11-4DB7-8B96-B27BF7163ACE}"/>
    <hyperlink ref="B32" r:id="rId19" display="https://prospects.atlassian.net/browse/WEB-26268" xr:uid="{A7774E4B-7A30-4F37-80B9-5B2B649EEBE3}"/>
    <hyperlink ref="B33" r:id="rId20" display="https://prospects.atlassian.net/browse/MOB-9543" xr:uid="{952FC605-A7EA-40FD-BFC7-2EDE6402E763}"/>
    <hyperlink ref="B30" r:id="rId21" display="https://prospects.atlassian.net/browse/WEB-26329" xr:uid="{EBBE703A-4935-481F-9F3F-864B0DA48121}"/>
    <hyperlink ref="B27" r:id="rId22" display="https://prospects.atlassian.net/browse/WEB-26371" xr:uid="{BAC82E84-038D-4D76-AE57-9606802E44F8}"/>
    <hyperlink ref="B25" r:id="rId23" display="https://prospects.atlassian.net/browse/WEB-26495" xr:uid="{663A9DD8-17BC-47BC-BCB2-01CDD16A534E}"/>
    <hyperlink ref="B23" r:id="rId24" display="https://prospects.atlassian.net/browse/WEB-26510" xr:uid="{BD83B9D2-C23D-4637-9A3C-2D8AE7E795BE}"/>
    <hyperlink ref="B34" r:id="rId25" display="https://prospects.atlassian.net/browse/MOB-9514" xr:uid="{062D7E0A-8E75-409C-A6E6-1FFA46B0655F}"/>
    <hyperlink ref="B20" r:id="rId26" display="https://prospects.atlassian.net/browse/WEB-26552" xr:uid="{49633701-686E-48AC-BDBA-242DF9DF36F3}"/>
    <hyperlink ref="B21" r:id="rId27" display="https://prospects.atlassian.net/browse/MOB-9550" xr:uid="{6A603AF4-C9D6-4694-911D-ECAC871F122E}"/>
    <hyperlink ref="B15" r:id="rId28" display="https://prospects.atlassian.net/browse/WEB-26627" xr:uid="{0A3C65EE-A3C6-4AA8-ADE3-578C4BA84D28}"/>
    <hyperlink ref="B16" r:id="rId29" display="https://prospects.atlassian.net/browse/MOB-9573" xr:uid="{0F21B74D-348F-42A5-BFDC-D6560F1F62C0}"/>
    <hyperlink ref="B13" r:id="rId30" display="https://prospects.atlassian.net/browse/WEB-26679" xr:uid="{5B32F75C-E440-4A58-87E3-026432775960}"/>
    <hyperlink ref="B7" r:id="rId31" display="https://prospects.atlassian.net/browse/WEB-26698" xr:uid="{108975D2-414E-4263-A18D-C980BE0623C2}"/>
    <hyperlink ref="B8" r:id="rId32" display="https://prospects.atlassian.net/browse/MOB-9597" xr:uid="{18836ACC-58E5-4BE8-A7FC-D52180C715C6}"/>
    <hyperlink ref="B9" r:id="rId33" display="https://prospects.atlassian.net/browse/MOB-7987" xr:uid="{B07911A3-A9FE-4D9D-91F1-0B898F6DF48E}"/>
    <hyperlink ref="B10" r:id="rId34" display="https://prospects.atlassian.net/browse/MOB-5595" xr:uid="{6F279F00-E0EF-440A-A784-6892107B2098}"/>
    <hyperlink ref="B11" r:id="rId35" display="https://prospects.atlassian.net/browse/MOB-9600" xr:uid="{91CFE2F1-F4D3-4749-991E-BA473AAA54EC}"/>
  </hyperlinks>
  <pageMargins left="0.7" right="0.7" top="0.75" bottom="0.75" header="0.3" footer="0.3"/>
  <pageSetup orientation="portrait" r:id="rId36"/>
  <drawing r:id="rId37"/>
  <legacyDrawing r:id="rId3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6C7C2-CB67-4E36-9993-68899CD7E3E2}">
  <dimension ref="A1:J13"/>
  <sheetViews>
    <sheetView workbookViewId="0">
      <pane xSplit="2" topLeftCell="C1" activePane="topRight" state="frozen"/>
      <selection pane="topRight" activeCell="N8" sqref="N8"/>
    </sheetView>
  </sheetViews>
  <sheetFormatPr defaultRowHeight="14.4" x14ac:dyDescent="0.3"/>
  <cols>
    <col min="1" max="1" width="29.6640625" customWidth="1"/>
    <col min="2" max="2" width="6.6640625" style="16" customWidth="1"/>
    <col min="3" max="10" width="27.5546875" customWidth="1"/>
  </cols>
  <sheetData>
    <row r="1" spans="1:10" ht="60" customHeight="1" thickBot="1" x14ac:dyDescent="0.35">
      <c r="A1" s="270" t="s">
        <v>107</v>
      </c>
      <c r="B1" s="271"/>
      <c r="C1" s="21" t="s">
        <v>4</v>
      </c>
      <c r="D1" s="17" t="s">
        <v>5</v>
      </c>
      <c r="E1" s="18" t="s">
        <v>6</v>
      </c>
      <c r="F1" s="18" t="s">
        <v>7</v>
      </c>
      <c r="G1" s="18" t="s">
        <v>8</v>
      </c>
      <c r="H1" s="19" t="s">
        <v>10</v>
      </c>
      <c r="I1" s="19" t="s">
        <v>11</v>
      </c>
      <c r="J1" s="20" t="s">
        <v>13</v>
      </c>
    </row>
    <row r="2" spans="1:10" ht="43.2" x14ac:dyDescent="0.3">
      <c r="A2" s="272" t="s">
        <v>108</v>
      </c>
      <c r="B2" s="22" t="s">
        <v>109</v>
      </c>
      <c r="C2" s="26" t="s">
        <v>110</v>
      </c>
      <c r="D2" s="27" t="s">
        <v>111</v>
      </c>
      <c r="E2" s="27" t="s">
        <v>112</v>
      </c>
      <c r="F2" s="27" t="s">
        <v>113</v>
      </c>
      <c r="G2" s="27" t="s">
        <v>114</v>
      </c>
      <c r="H2" s="27" t="s">
        <v>115</v>
      </c>
      <c r="I2" s="27" t="s">
        <v>116</v>
      </c>
      <c r="J2" s="36" t="s">
        <v>117</v>
      </c>
    </row>
    <row r="3" spans="1:10" x14ac:dyDescent="0.3">
      <c r="A3" s="268"/>
      <c r="B3" s="23" t="s">
        <v>118</v>
      </c>
      <c r="C3" s="28"/>
      <c r="D3" s="29" t="s">
        <v>119</v>
      </c>
      <c r="E3" s="29"/>
      <c r="F3" s="29"/>
      <c r="G3" s="29" t="s">
        <v>119</v>
      </c>
      <c r="H3" s="29"/>
      <c r="I3" s="29"/>
      <c r="J3" s="37"/>
    </row>
    <row r="4" spans="1:10" ht="43.8" thickBot="1" x14ac:dyDescent="0.35">
      <c r="A4" s="269"/>
      <c r="B4" s="25">
        <v>5</v>
      </c>
      <c r="C4" s="33" t="s">
        <v>120</v>
      </c>
      <c r="D4" s="34" t="s">
        <v>121</v>
      </c>
      <c r="E4" s="34" t="s">
        <v>122</v>
      </c>
      <c r="F4" s="34" t="s">
        <v>123</v>
      </c>
      <c r="G4" s="34" t="s">
        <v>124</v>
      </c>
      <c r="H4" s="34" t="s">
        <v>125</v>
      </c>
      <c r="I4" s="34" t="s">
        <v>126</v>
      </c>
      <c r="J4" s="35" t="s">
        <v>127</v>
      </c>
    </row>
    <row r="5" spans="1:10" ht="43.2" x14ac:dyDescent="0.3">
      <c r="A5" s="267" t="s">
        <v>128</v>
      </c>
      <c r="B5" s="22" t="s">
        <v>109</v>
      </c>
      <c r="C5" s="26" t="s">
        <v>129</v>
      </c>
      <c r="D5" s="27" t="s">
        <v>130</v>
      </c>
      <c r="E5" s="27" t="s">
        <v>131</v>
      </c>
      <c r="F5" s="27" t="s">
        <v>113</v>
      </c>
      <c r="G5" s="27" t="s">
        <v>114</v>
      </c>
      <c r="H5" s="27" t="s">
        <v>115</v>
      </c>
      <c r="I5" s="27" t="s">
        <v>116</v>
      </c>
      <c r="J5" s="36" t="s">
        <v>117</v>
      </c>
    </row>
    <row r="6" spans="1:10" x14ac:dyDescent="0.3">
      <c r="A6" s="268"/>
      <c r="B6" s="23" t="s">
        <v>118</v>
      </c>
      <c r="C6" s="28"/>
      <c r="D6" s="29"/>
      <c r="E6" s="29"/>
      <c r="F6" s="29"/>
      <c r="G6" s="29" t="s">
        <v>119</v>
      </c>
      <c r="H6" s="29"/>
      <c r="I6" s="29"/>
      <c r="J6" s="37"/>
    </row>
    <row r="7" spans="1:10" ht="43.8" thickBot="1" x14ac:dyDescent="0.35">
      <c r="A7" s="273"/>
      <c r="B7" s="24" t="s">
        <v>132</v>
      </c>
      <c r="C7" s="30" t="s">
        <v>133</v>
      </c>
      <c r="D7" s="31" t="s">
        <v>134</v>
      </c>
      <c r="E7" s="31"/>
      <c r="F7" s="31" t="s">
        <v>123</v>
      </c>
      <c r="G7" s="31" t="s">
        <v>124</v>
      </c>
      <c r="H7" s="34" t="s">
        <v>125</v>
      </c>
      <c r="I7" s="34" t="s">
        <v>126</v>
      </c>
      <c r="J7" s="35" t="s">
        <v>127</v>
      </c>
    </row>
    <row r="8" spans="1:10" ht="28.8" x14ac:dyDescent="0.3">
      <c r="A8" s="272" t="s">
        <v>135</v>
      </c>
      <c r="B8" s="22">
        <v>1</v>
      </c>
      <c r="C8" s="26" t="s">
        <v>136</v>
      </c>
      <c r="D8" s="38" t="s">
        <v>130</v>
      </c>
      <c r="E8" s="27" t="s">
        <v>137</v>
      </c>
      <c r="F8" s="42"/>
      <c r="G8" s="27" t="s">
        <v>138</v>
      </c>
      <c r="H8" s="27" t="s">
        <v>115</v>
      </c>
      <c r="I8" s="27" t="s">
        <v>116</v>
      </c>
      <c r="J8" s="48"/>
    </row>
    <row r="9" spans="1:10" x14ac:dyDescent="0.3">
      <c r="A9" s="268"/>
      <c r="B9" s="23" t="s">
        <v>118</v>
      </c>
      <c r="C9" s="28"/>
      <c r="D9" s="39"/>
      <c r="E9" s="29"/>
      <c r="F9" s="43"/>
      <c r="G9" s="29" t="s">
        <v>119</v>
      </c>
      <c r="H9" s="29"/>
      <c r="I9" s="29"/>
      <c r="J9" s="32"/>
    </row>
    <row r="10" spans="1:10" ht="43.8" thickBot="1" x14ac:dyDescent="0.35">
      <c r="A10" s="269"/>
      <c r="B10" s="25">
        <v>5</v>
      </c>
      <c r="C10" s="33" t="s">
        <v>139</v>
      </c>
      <c r="D10" s="34" t="s">
        <v>134</v>
      </c>
      <c r="E10" s="34" t="s">
        <v>140</v>
      </c>
      <c r="F10" s="34" t="s">
        <v>141</v>
      </c>
      <c r="G10" s="34" t="s">
        <v>142</v>
      </c>
      <c r="H10" s="34" t="s">
        <v>143</v>
      </c>
      <c r="I10" s="34" t="s">
        <v>126</v>
      </c>
      <c r="J10" s="35" t="s">
        <v>127</v>
      </c>
    </row>
    <row r="11" spans="1:10" ht="57.6" x14ac:dyDescent="0.3">
      <c r="A11" s="267" t="s">
        <v>144</v>
      </c>
      <c r="B11" s="22">
        <v>1</v>
      </c>
      <c r="C11" s="26" t="s">
        <v>145</v>
      </c>
      <c r="D11" s="27" t="s">
        <v>146</v>
      </c>
      <c r="E11" s="41" t="s">
        <v>147</v>
      </c>
      <c r="F11" s="27" t="s">
        <v>113</v>
      </c>
      <c r="G11" s="27" t="s">
        <v>114</v>
      </c>
      <c r="H11" s="27" t="s">
        <v>115</v>
      </c>
      <c r="I11" s="27" t="s">
        <v>116</v>
      </c>
      <c r="J11" s="36" t="s">
        <v>117</v>
      </c>
    </row>
    <row r="12" spans="1:10" x14ac:dyDescent="0.3">
      <c r="A12" s="268"/>
      <c r="B12" s="23" t="s">
        <v>118</v>
      </c>
      <c r="C12" s="28"/>
      <c r="D12" s="29"/>
      <c r="E12" s="29"/>
      <c r="F12" s="29"/>
      <c r="G12" s="29" t="s">
        <v>119</v>
      </c>
      <c r="H12" s="29"/>
      <c r="I12" s="29"/>
      <c r="J12" s="37"/>
    </row>
    <row r="13" spans="1:10" ht="58.2" thickBot="1" x14ac:dyDescent="0.35">
      <c r="A13" s="269"/>
      <c r="B13" s="25">
        <v>5</v>
      </c>
      <c r="C13" s="33" t="s">
        <v>148</v>
      </c>
      <c r="D13" s="40" t="s">
        <v>149</v>
      </c>
      <c r="E13" s="34" t="s">
        <v>150</v>
      </c>
      <c r="F13" s="34" t="s">
        <v>123</v>
      </c>
      <c r="G13" s="34" t="s">
        <v>124</v>
      </c>
      <c r="H13" s="34" t="s">
        <v>125</v>
      </c>
      <c r="I13" s="34" t="s">
        <v>126</v>
      </c>
      <c r="J13" s="35" t="s">
        <v>127</v>
      </c>
    </row>
  </sheetData>
  <mergeCells count="5">
    <mergeCell ref="A11:A13"/>
    <mergeCell ref="A1:B1"/>
    <mergeCell ref="A2:A4"/>
    <mergeCell ref="A8:A10"/>
    <mergeCell ref="A5:A7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E436-5C35-4C7C-86B6-480DE98731B6}">
  <dimension ref="B1:F11"/>
  <sheetViews>
    <sheetView workbookViewId="0">
      <selection activeCell="B1" sqref="B1:F1"/>
    </sheetView>
  </sheetViews>
  <sheetFormatPr defaultRowHeight="14.4" x14ac:dyDescent="0.3"/>
  <cols>
    <col min="2" max="3" width="11" customWidth="1"/>
    <col min="4" max="4" width="11.109375" customWidth="1"/>
    <col min="5" max="6" width="11" customWidth="1"/>
    <col min="7" max="8" width="11.109375" customWidth="1"/>
  </cols>
  <sheetData>
    <row r="1" spans="2:6" ht="18" x14ac:dyDescent="0.3">
      <c r="B1" s="276" t="s">
        <v>151</v>
      </c>
      <c r="C1" s="276"/>
      <c r="D1" s="276"/>
      <c r="E1" s="276"/>
      <c r="F1" s="276"/>
    </row>
    <row r="2" spans="2:6" ht="15" thickBot="1" x14ac:dyDescent="0.35"/>
    <row r="3" spans="2:6" ht="15" thickBot="1" x14ac:dyDescent="0.35">
      <c r="B3" s="274" t="s">
        <v>152</v>
      </c>
      <c r="C3" s="275"/>
      <c r="E3" s="274" t="s">
        <v>153</v>
      </c>
      <c r="F3" s="275"/>
    </row>
    <row r="4" spans="2:6" ht="15" thickBot="1" x14ac:dyDescent="0.35">
      <c r="B4" s="245" t="s">
        <v>154</v>
      </c>
      <c r="C4" s="246" t="s">
        <v>155</v>
      </c>
      <c r="E4" s="245" t="s">
        <v>154</v>
      </c>
      <c r="F4" s="246" t="s">
        <v>155</v>
      </c>
    </row>
    <row r="5" spans="2:6" x14ac:dyDescent="0.3">
      <c r="B5" s="241">
        <v>0.5</v>
      </c>
      <c r="C5" s="238">
        <v>0.5</v>
      </c>
      <c r="E5" s="241">
        <v>1</v>
      </c>
      <c r="F5" s="238">
        <v>1</v>
      </c>
    </row>
    <row r="6" spans="2:6" x14ac:dyDescent="0.3">
      <c r="B6" s="242">
        <v>1</v>
      </c>
      <c r="C6" s="239">
        <v>1</v>
      </c>
      <c r="E6" s="242" t="s">
        <v>156</v>
      </c>
      <c r="F6" s="239">
        <v>2</v>
      </c>
    </row>
    <row r="7" spans="2:6" x14ac:dyDescent="0.3">
      <c r="B7" s="242">
        <v>2</v>
      </c>
      <c r="C7" s="239">
        <v>1.5</v>
      </c>
      <c r="E7" s="242" t="s">
        <v>157</v>
      </c>
      <c r="F7" s="239">
        <v>3</v>
      </c>
    </row>
    <row r="8" spans="2:6" x14ac:dyDescent="0.3">
      <c r="B8" s="243" t="s">
        <v>158</v>
      </c>
      <c r="C8" s="239">
        <v>2</v>
      </c>
      <c r="E8" s="243" t="s">
        <v>159</v>
      </c>
      <c r="F8" s="239">
        <v>4</v>
      </c>
    </row>
    <row r="9" spans="2:6" ht="15" thickBot="1" x14ac:dyDescent="0.35">
      <c r="B9" s="242" t="s">
        <v>160</v>
      </c>
      <c r="C9" s="239">
        <v>3</v>
      </c>
      <c r="E9" s="244" t="s">
        <v>161</v>
      </c>
      <c r="F9" s="240">
        <v>5</v>
      </c>
    </row>
    <row r="10" spans="2:6" x14ac:dyDescent="0.3">
      <c r="B10" s="242" t="s">
        <v>162</v>
      </c>
      <c r="C10" s="239">
        <v>4</v>
      </c>
    </row>
    <row r="11" spans="2:6" ht="15" thickBot="1" x14ac:dyDescent="0.35">
      <c r="B11" s="244" t="s">
        <v>163</v>
      </c>
      <c r="C11" s="240">
        <v>5</v>
      </c>
    </row>
  </sheetData>
  <mergeCells count="3">
    <mergeCell ref="B3:C3"/>
    <mergeCell ref="E3:F3"/>
    <mergeCell ref="B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D2C2-4570-4D24-9124-0916416ACD60}">
  <dimension ref="A1:F15"/>
  <sheetViews>
    <sheetView workbookViewId="0">
      <selection activeCell="C14" sqref="C14"/>
    </sheetView>
  </sheetViews>
  <sheetFormatPr defaultRowHeight="14.4" x14ac:dyDescent="0.3"/>
  <cols>
    <col min="1" max="1" width="62" customWidth="1"/>
    <col min="2" max="2" width="11.6640625" style="206" customWidth="1"/>
    <col min="3" max="3" width="30" customWidth="1"/>
    <col min="5" max="5" width="73" customWidth="1"/>
  </cols>
  <sheetData>
    <row r="1" spans="1:6" ht="15" thickBot="1" x14ac:dyDescent="0.35">
      <c r="A1" s="277" t="s">
        <v>164</v>
      </c>
      <c r="B1" s="278"/>
      <c r="C1" s="279"/>
      <c r="E1" s="207" t="s">
        <v>165</v>
      </c>
    </row>
    <row r="2" spans="1:6" x14ac:dyDescent="0.3">
      <c r="A2" s="201" t="s">
        <v>35</v>
      </c>
      <c r="B2" s="202" t="s">
        <v>36</v>
      </c>
      <c r="C2" s="203" t="s">
        <v>166</v>
      </c>
      <c r="E2" s="212" t="s">
        <v>167</v>
      </c>
    </row>
    <row r="3" spans="1:6" x14ac:dyDescent="0.3">
      <c r="A3" s="208" t="s">
        <v>95</v>
      </c>
      <c r="B3" s="209" t="s">
        <v>96</v>
      </c>
      <c r="C3" s="210" t="s">
        <v>168</v>
      </c>
      <c r="E3" s="213" t="s">
        <v>169</v>
      </c>
    </row>
    <row r="4" spans="1:6" x14ac:dyDescent="0.3">
      <c r="A4" s="204" t="s">
        <v>98</v>
      </c>
      <c r="B4" s="198" t="s">
        <v>99</v>
      </c>
      <c r="C4" s="205" t="s">
        <v>168</v>
      </c>
      <c r="E4" s="212" t="s">
        <v>170</v>
      </c>
    </row>
    <row r="5" spans="1:6" x14ac:dyDescent="0.3">
      <c r="A5" s="208" t="s">
        <v>88</v>
      </c>
      <c r="B5" s="209" t="s">
        <v>89</v>
      </c>
      <c r="C5" s="210" t="s">
        <v>171</v>
      </c>
      <c r="E5" s="213" t="s">
        <v>172</v>
      </c>
      <c r="F5" t="s">
        <v>173</v>
      </c>
    </row>
    <row r="6" spans="1:6" x14ac:dyDescent="0.3">
      <c r="A6" s="204" t="s">
        <v>65</v>
      </c>
      <c r="B6" s="198" t="s">
        <v>66</v>
      </c>
      <c r="C6" s="205" t="s">
        <v>168</v>
      </c>
      <c r="E6" s="280" t="s">
        <v>174</v>
      </c>
    </row>
    <row r="7" spans="1:6" x14ac:dyDescent="0.3">
      <c r="A7" s="208" t="s">
        <v>29</v>
      </c>
      <c r="B7" s="209" t="s">
        <v>30</v>
      </c>
      <c r="C7" s="210" t="s">
        <v>175</v>
      </c>
      <c r="E7" s="281"/>
    </row>
    <row r="8" spans="1:6" x14ac:dyDescent="0.3">
      <c r="A8" s="204" t="s">
        <v>176</v>
      </c>
      <c r="B8" s="198" t="s">
        <v>177</v>
      </c>
      <c r="C8" s="205" t="s">
        <v>178</v>
      </c>
      <c r="E8" s="212" t="s">
        <v>179</v>
      </c>
    </row>
    <row r="9" spans="1:6" x14ac:dyDescent="0.3">
      <c r="A9" s="208" t="s">
        <v>180</v>
      </c>
      <c r="B9" s="209" t="s">
        <v>181</v>
      </c>
      <c r="C9" s="210" t="s">
        <v>182</v>
      </c>
      <c r="E9" s="199"/>
    </row>
    <row r="10" spans="1:6" x14ac:dyDescent="0.3">
      <c r="A10" s="204" t="s">
        <v>183</v>
      </c>
      <c r="B10" s="198" t="s">
        <v>184</v>
      </c>
      <c r="C10" s="205" t="s">
        <v>185</v>
      </c>
      <c r="E10" s="211"/>
    </row>
    <row r="11" spans="1:6" ht="15" thickBot="1" x14ac:dyDescent="0.35">
      <c r="A11" s="208" t="s">
        <v>63</v>
      </c>
      <c r="B11" s="209" t="s">
        <v>64</v>
      </c>
      <c r="C11" s="210" t="s">
        <v>168</v>
      </c>
      <c r="E11" s="200"/>
    </row>
    <row r="12" spans="1:6" x14ac:dyDescent="0.3">
      <c r="A12" s="204" t="s">
        <v>186</v>
      </c>
      <c r="B12" s="250" t="s">
        <v>187</v>
      </c>
      <c r="C12" s="205" t="s">
        <v>168</v>
      </c>
    </row>
    <row r="13" spans="1:6" x14ac:dyDescent="0.3">
      <c r="A13" s="247"/>
      <c r="B13" s="248"/>
      <c r="C13" s="249"/>
    </row>
    <row r="14" spans="1:6" x14ac:dyDescent="0.3">
      <c r="A14" s="251"/>
      <c r="B14" s="252"/>
      <c r="C14" s="253"/>
    </row>
    <row r="15" spans="1:6" ht="15" thickBot="1" x14ac:dyDescent="0.35">
      <c r="A15" s="254"/>
      <c r="B15" s="255"/>
      <c r="C15" s="256"/>
    </row>
  </sheetData>
  <mergeCells count="2">
    <mergeCell ref="A1:C1"/>
    <mergeCell ref="E6:E7"/>
  </mergeCells>
  <hyperlinks>
    <hyperlink ref="B2" r:id="rId1" display="https://prospects.atlassian.net/browse/WEB-24868" xr:uid="{0FA796BD-4FF4-4D10-9772-A21A76BE510F}"/>
    <hyperlink ref="B3" r:id="rId2" display="https://prospects.atlassian.net/browse/MOB-9493" xr:uid="{A2C841FD-A7FC-4776-923E-855DD7E626D7}"/>
    <hyperlink ref="B4" r:id="rId3" display="https://prospects.atlassian.net/browse/MOB-9391" xr:uid="{0B52A323-7808-4FC7-9A11-91BBF4E48204}"/>
    <hyperlink ref="B5" r:id="rId4" display="https://prospects.atlassian.net/browse/MOB-9543" xr:uid="{1B8C052F-738E-45BF-8ADC-093BDCBF763F}"/>
    <hyperlink ref="B6" r:id="rId5" display="https://prospects.atlassian.net/browse/WEB-25840" xr:uid="{C9E684CF-C58D-4731-94E3-2A73C06FE720}"/>
    <hyperlink ref="B7" r:id="rId6" display="https://prospects.atlassian.net/browse/WEB-26518" xr:uid="{7471BE2F-8979-40BB-A0E0-A31830874A44}"/>
    <hyperlink ref="B8" r:id="rId7" display="https://prospects.atlassian.net/browse/WEB-25644" xr:uid="{115E3BB5-52BA-455F-819F-DB5BE55EE375}"/>
    <hyperlink ref="B9" r:id="rId8" display="https://prospects.atlassian.net/browse/OP-2040" xr:uid="{6D3B97B0-DA11-4C6C-802F-164E576CDFDA}"/>
    <hyperlink ref="B10" r:id="rId9" display="https://prospects.atlassian.net/browse/WEB-20240?focusedCommentId=73901" xr:uid="{5A21E05B-260D-4FB3-8A58-094354DC90AC}"/>
    <hyperlink ref="B11" r:id="rId10" display="https://prospects.atlassian.net/browse/WEB-23751" xr:uid="{B39A76A7-B69F-4E9D-8EF4-A651B3501A30}"/>
    <hyperlink ref="B12" r:id="rId11" display="https://prospects.atlassian.net/browse/WEB-26166" xr:uid="{32265065-05FB-4BA3-B67B-FEF5A52CF3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WEB</vt:lpstr>
      <vt:lpstr>Mobile</vt:lpstr>
      <vt:lpstr>Instructions</vt:lpstr>
      <vt:lpstr>Conversion Tables</vt:lpstr>
      <vt:lpstr>To Discuss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Neelesh</dc:creator>
  <cp:keywords/>
  <dc:description/>
  <cp:lastModifiedBy>Neelesh Singh</cp:lastModifiedBy>
  <cp:revision/>
  <dcterms:created xsi:type="dcterms:W3CDTF">2024-02-05T21:37:46Z</dcterms:created>
  <dcterms:modified xsi:type="dcterms:W3CDTF">2025-04-11T18:14:59Z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2025-03-26T17:54:44Z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51d4be67-e2f8-4f95-bdac-a72711fad889</vt:lpwstr>
  </property>
  <property fmtid="{D5CDD505-2E9C-101B-9397-08002B2CF9AE}" pid="7" name="MSIP_Label_defa4170-0d19-0005-0004-bc88714345d2_ActionId">
    <vt:lpwstr>5354d687-24e8-45e1-84ca-e7a3bc0f3c87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