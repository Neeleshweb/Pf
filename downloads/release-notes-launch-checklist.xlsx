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Launch Checklist — Example" sheetId="2" state="visible" r:id="rId4"/>
    <sheet name="Release Notes — Example" sheetId="3" state="visible" r:id="rId5"/>
    <sheet name="Launch Checklist — Blank" sheetId="4" state="visible" r:id="rId6"/>
    <sheet name="Release Notes — Blan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<sst xmlns="http://schemas.openxmlformats.org/spreadsheetml/2006/main" count="235" uniqueCount="125">
  <si>
    <t xml:space="preserve">RELEASE NOTES &amp; LAUNCH CHECKLIST</t>
  </si>
  <si>
    <t xml:space="preserve">Coordinate every team, catch the edge cases, and tell customers what changed — in one place</t>
  </si>
  <si>
    <t xml:space="preserve">PM Toolkit by Neelesh Singh  ·  neeleshpmtoolkit.com</t>
  </si>
  <si>
    <t xml:space="preserve">What this is</t>
  </si>
  <si>
    <t xml:space="preserve">Two artefacts for shipping safely: a cross-functional launch checklist with a live Go / No-Go readiness gate, and a clean release-notes template your customers (or your team) will actually read.</t>
  </si>
  <si>
    <t xml:space="preserve">How to use it</t>
  </si>
  <si>
    <t xml:space="preserve">1.  Open “Launch Checklist — Example” — Meterly launching Smart Dunning v1 across product, eng, QA, security, support, marketing and data. Readiness % and the Go / No-Go verdict update as you set each status.</t>
  </si>
  <si>
    <t xml:space="preserve">2.  Assign every item an owner and a due date. Mark anything irrelevant as N/A so it doesn’t drag your readiness down. Blocked items turn the gate red until cleared.</t>
  </si>
  <si>
    <t xml:space="preserve">3.  Draft the customer story in “Release Notes — Example” while you build — not the night before. Lead with the benefit, not the feature.</t>
  </si>
  <si>
    <t xml:space="preserve">4.  Copy the “— Blank” tabs per release. Add or delete workstream rows to match how your org actually ships.</t>
  </si>
  <si>
    <t xml:space="preserve">Make it yours</t>
  </si>
  <si>
    <t xml:space="preserve">The workstreams are a strong default, not gospel — add Mobile, Localisation, Finance, Trust &amp; Safety, or whatever your launch needs. The readiness maths counts every item that isn’t marked N/A.</t>
  </si>
  <si>
    <t xml:space="preserve">Colour legend</t>
  </si>
  <si>
    <t xml:space="preserve">Blue = your input.   Black = calculated.   Status cells colour by value; the Go / No-Go gate is green only when everything applicable is Done.</t>
  </si>
  <si>
    <t xml:space="preserve">© PM Toolkit by Neelesh Singh  ·  neeleshpmtoolkit.com  —  Free for personal use. Adapt freely; please keep the credit line.</t>
  </si>
  <si>
    <t xml:space="preserve">LAUNCH CHECKLIST  ·  METERLY</t>
  </si>
  <si>
    <t xml:space="preserve">Smart Dunning v1 — launch readiness</t>
  </si>
  <si>
    <t xml:space="preserve">Release / version</t>
  </si>
  <si>
    <t xml:space="preserve">Smart Dunning v1  ·  2026.06</t>
  </si>
  <si>
    <t xml:space="preserve">Target launch date</t>
  </si>
  <si>
    <t xml:space="preserve">Jul 8, 2026</t>
  </si>
  <si>
    <t xml:space="preserve">Release owner</t>
  </si>
  <si>
    <t xml:space="preserve">Lena (PM — Payments)</t>
  </si>
  <si>
    <t xml:space="preserve">Launch tier</t>
  </si>
  <si>
    <t xml:space="preserve">Major — new revenue capability</t>
  </si>
  <si>
    <t xml:space="preserve">READINESS</t>
  </si>
  <si>
    <t xml:space="preserve">Overall readiness</t>
  </si>
  <si>
    <t xml:space="preserve">Go / No-Go</t>
  </si>
  <si>
    <t xml:space="preserve">CHECKLIST  (by workstream)</t>
  </si>
  <si>
    <t xml:space="preserve">Item</t>
  </si>
  <si>
    <t xml:space="preserve">Owner</t>
  </si>
  <si>
    <t xml:space="preserve">Status</t>
  </si>
  <si>
    <t xml:space="preserve">Due</t>
  </si>
  <si>
    <t xml:space="preserve">Notes</t>
  </si>
  <si>
    <t xml:space="preserve">Product</t>
  </si>
  <si>
    <t xml:space="preserve">Pilot success criteria met (recovery ≥ 60% vs control)</t>
  </si>
  <si>
    <t xml:space="preserve">Lena</t>
  </si>
  <si>
    <t xml:space="preserve">Done</t>
  </si>
  <si>
    <t xml:space="preserve">Jul 1</t>
  </si>
  <si>
    <t xml:space="preserve">Pricing &amp; packaging for the add-on finalised</t>
  </si>
  <si>
    <t xml:space="preserve">In progress</t>
  </si>
  <si>
    <t xml:space="preserve">Jul 3</t>
  </si>
  <si>
    <t xml:space="preserve">Rollout plan (pilot → cohort → GA) approved</t>
  </si>
  <si>
    <t xml:space="preserve">Engineering</t>
  </si>
  <si>
    <t xml:space="preserve">Feature flag + kill switch tested in prod</t>
  </si>
  <si>
    <t xml:space="preserve">Marco</t>
  </si>
  <si>
    <t xml:space="preserve">Jul 2</t>
  </si>
  <si>
    <t xml:space="preserve">Retry engine load/perf check at 2× peak</t>
  </si>
  <si>
    <t xml:space="preserve">Dvij</t>
  </si>
  <si>
    <t xml:space="preserve">Jul 4</t>
  </si>
  <si>
    <t xml:space="preserve">Idempotency verified on retry + charge</t>
  </si>
  <si>
    <t xml:space="preserve">Rollback runbook written &amp; dry-run</t>
  </si>
  <si>
    <t xml:space="preserve">Not started</t>
  </si>
  <si>
    <t xml:space="preserve">Jul 5</t>
  </si>
  <si>
    <t xml:space="preserve">QA</t>
  </si>
  <si>
    <t xml:space="preserve">Edge cases pass: declined, expired, network, partial</t>
  </si>
  <si>
    <t xml:space="preserve">Aisha</t>
  </si>
  <si>
    <t xml:space="preserve">Webhook signature + replay tests</t>
  </si>
  <si>
    <t xml:space="preserve">Regression on core billing flows</t>
  </si>
  <si>
    <t xml:space="preserve">Jul 6</t>
  </si>
  <si>
    <t xml:space="preserve">Security &amp; Compliance</t>
  </si>
  <si>
    <t xml:space="preserve">PCI scope review — tokenised, no PAN stored (SAQ-A)</t>
  </si>
  <si>
    <t xml:space="preserve">Security</t>
  </si>
  <si>
    <t xml:space="preserve">Jun 28</t>
  </si>
  <si>
    <t xml:space="preserve">DPA with PSP signed</t>
  </si>
  <si>
    <t xml:space="preserve">Legal</t>
  </si>
  <si>
    <t xml:space="preserve">Jun 25</t>
  </si>
  <si>
    <t xml:space="preserve">Pen-test findings closed</t>
  </si>
  <si>
    <t xml:space="preserve">Docs</t>
  </si>
  <si>
    <t xml:space="preserve">Help-center: “Update a failed payment” article</t>
  </si>
  <si>
    <t xml:space="preserve">API changelog + webhook events documented</t>
  </si>
  <si>
    <t xml:space="preserve">Support / CS</t>
  </si>
  <si>
    <t xml:space="preserve">Macros for “why did my payment fail?”</t>
  </si>
  <si>
    <t xml:space="preserve">CS Lead</t>
  </si>
  <si>
    <t xml:space="preserve">CS trained on dunning status view</t>
  </si>
  <si>
    <t xml:space="preserve">Escalation path for stuck recoveries defined</t>
  </si>
  <si>
    <t xml:space="preserve">Marketing</t>
  </si>
  <si>
    <t xml:space="preserve">Release notes finalised</t>
  </si>
  <si>
    <t xml:space="preserve">Customer announcement email scheduled</t>
  </si>
  <si>
    <t xml:space="preserve">Jul 7</t>
  </si>
  <si>
    <t xml:space="preserve">In-app announcement / changelog post</t>
  </si>
  <si>
    <t xml:space="preserve">Jul 8</t>
  </si>
  <si>
    <t xml:space="preserve">Sales</t>
  </si>
  <si>
    <t xml:space="preserve">Renewal talk-track + one-pager updated</t>
  </si>
  <si>
    <t xml:space="preserve">Sales Eng</t>
  </si>
  <si>
    <t xml:space="preserve">Pricing sheet updated for the add-on</t>
  </si>
  <si>
    <t xml:space="preserve">N/A</t>
  </si>
  <si>
    <t xml:space="preserve">Handled in pricing tool</t>
  </si>
  <si>
    <t xml:space="preserve">Data &amp; Analytics</t>
  </si>
  <si>
    <t xml:space="preserve">Recovery dashboard live (pilot vs control)</t>
  </si>
  <si>
    <t xml:space="preserve">Event tracking verified end-to-end</t>
  </si>
  <si>
    <t xml:space="preserve">Control cohort defined &amp; locked</t>
  </si>
  <si>
    <t xml:space="preserve">Go / No-Go sign-offs</t>
  </si>
  <si>
    <t xml:space="preserve">Engineering sign-off</t>
  </si>
  <si>
    <t xml:space="preserve">Eng Lead</t>
  </si>
  <si>
    <t xml:space="preserve">Security sign-off</t>
  </si>
  <si>
    <t xml:space="preserve">Support readiness sign-off</t>
  </si>
  <si>
    <t xml:space="preserve">PM final go</t>
  </si>
  <si>
    <t xml:space="preserve">RELEASE NOTES  ·  METERLY</t>
  </si>
  <si>
    <t xml:space="preserve">Smart Dunning v1 — customer-facing</t>
  </si>
  <si>
    <t xml:space="preserve">Meterly · Smart Dunning v1 · Released Jul 8, 2026</t>
  </si>
  <si>
    <t xml:space="preserve">Recover more failed payments — automatically. Smart Dunning retries failed charges intelligently and prompts customers to update expiring cards, so you keep revenue customers never meant to stop paying.</t>
  </si>
  <si>
    <t xml:space="preserve">NEW</t>
  </si>
  <si>
    <t xml:space="preserve">•  Smart retries — failed charges now retry on an intelligent schedule, recovering significantly more revenue with zero manual work</t>
  </si>
  <si>
    <t xml:space="preserve">•  Pre-dunning card reminders — customers are nudged to update an expiring card before a payment fails</t>
  </si>
  <si>
    <t xml:space="preserve">•  One-click card update — a secure hosted page lets customers fix a failed payment in seconds</t>
  </si>
  <si>
    <t xml:space="preserve">IMPROVED</t>
  </si>
  <si>
    <t xml:space="preserve">•  Recovery dashboard — track recovered revenue and recovery rate by cohort, in real time</t>
  </si>
  <si>
    <t xml:space="preserve">FIXED</t>
  </si>
  <si>
    <t xml:space="preserve">•  Webhook reliability — resolved a signature mismatch on charge.recovered events</t>
  </si>
  <si>
    <t xml:space="preserve">ACTION NEEDED</t>
  </si>
  <si>
    <t xml:space="preserve">•  Turn it on — enable Smart Dunning in Settings → Billing → Recovery (pilot accounts are on by default)</t>
  </si>
  <si>
    <t xml:space="preserve">COMING NEXT</t>
  </si>
  <si>
    <t xml:space="preserve">•  Adaptive timing &amp; SMS — ML-tuned retry timing and SMS reminders for high-value accounts</t>
  </si>
  <si>
    <t xml:space="preserve">Questions? Visit help.meterly.com or reply to this email — we read every one.</t>
  </si>
  <si>
    <t xml:space="preserve">LAUNCH CHECKLIST  ·  [PRODUCT]</t>
  </si>
  <si>
    <t xml:space="preserve">Coordinate the launch; gate the go-live</t>
  </si>
  <si>
    <t xml:space="preserve">[Workstream]</t>
  </si>
  <si>
    <t xml:space="preserve">[Checklist item]</t>
  </si>
  <si>
    <t xml:space="preserve">RELEASE NOTES  ·  [PRODUCT]</t>
  </si>
  <si>
    <t xml:space="preserve">What changed, in plain language</t>
  </si>
  <si>
    <t xml:space="preserve">[Product] · [Release] · [Date]</t>
  </si>
  <si>
    <t xml:space="preserve">[One-line summary: the single most important thing this release does for the customer.]</t>
  </si>
  <si>
    <t xml:space="preserve">•  [What changed] — [why it matters to the customer]</t>
  </si>
  <si>
    <t xml:space="preserve">[Where to get help / contact / changelog link]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</si>
</sst>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8"/>
      <color rgb="FFE8540A"/>
      <name val="Arial"/>
      <family val="0"/>
      <charset val="1"/>
    </font>
    <font>
      <b val="true"/>
      <sz val="13"/>
      <color rgb="FFE8540A"/>
      <name val="Arial"/>
      <family val="0"/>
      <charset val="1"/>
    </font>
    <font>
      <sz val="10.5"/>
      <color rgb="FF1A1A1A"/>
      <name val="Arial"/>
      <family val="0"/>
      <charset val="1"/>
    </font>
    <font>
      <i val="true"/>
      <sz val="8"/>
      <color rgb="FF6B6B6B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B23F06"/>
      <name val="Arial"/>
      <family val="0"/>
      <charset val="1"/>
    </font>
    <font>
      <b val="true"/>
      <sz val="10"/>
      <color rgb="FFB23F0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10"/>
      <color rgb="FF6B6B6B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i val="true"/>
      <sz val="9.5"/>
      <color rgb="FF6B6B6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8540A"/>
        <bgColor rgb="FFB23F06"/>
      </patternFill>
    </fill>
    <fill>
      <patternFill patternType="solid">
        <fgColor rgb="FFB23F06"/>
        <bgColor rgb="FF8A5A00"/>
      </patternFill>
    </fill>
    <fill>
      <patternFill patternType="solid">
        <fgColor rgb="FFFFFFFF"/>
        <bgColor rgb="FFF2F2F2"/>
      </patternFill>
    </fill>
    <fill>
      <patternFill patternType="solid">
        <fgColor rgb="FFFCEDE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family val="0"/>
        <b val="1"/>
        <color rgb="FF8A5A00"/>
        <sz val="9"/>
      </font>
      <fill>
        <patternFill>
          <bgColor rgb="FFFFE7C2"/>
        </patternFill>
      </fill>
    </dxf>
    <dxf>
      <font>
        <name val="Arial"/>
        <charset val="1"/>
        <family val="0"/>
        <b val="1"/>
        <color rgb="FF8E2018"/>
        <sz val="9"/>
      </font>
      <fill>
        <patternFill>
          <bgColor rgb="FFF7CFCB"/>
        </patternFill>
      </fill>
    </dxf>
    <dxf>
      <font>
        <name val="Arial"/>
        <charset val="1"/>
        <family val="0"/>
        <b val="1"/>
        <color rgb="FF455A64"/>
        <sz val="9"/>
      </font>
      <fill>
        <patternFill>
          <bgColor rgb="FFECEFF1"/>
        </patternFill>
      </fill>
    </dxf>
    <dxf>
      <font>
        <name val="Arial"/>
        <charset val="1"/>
        <family val="0"/>
        <b val="1"/>
        <color rgb="FF9AA1AC"/>
        <sz val="9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E2018"/>
      <rgbColor rgb="FF1B5E20"/>
      <rgbColor rgb="FF000080"/>
      <rgbColor rgb="FF8A5A00"/>
      <rgbColor rgb="FF800080"/>
      <rgbColor rgb="FF008080"/>
      <rgbColor rgb="FFC0C0C0"/>
      <rgbColor rgb="FF808080"/>
      <rgbColor rgb="FF9999FF"/>
      <rgbColor rgb="FF993366"/>
      <rgbColor rgb="FFFCEDE6"/>
      <rgbColor rgb="FFECEF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8E6C9"/>
      <rgbColor rgb="FFFFE7C2"/>
      <rgbColor rgb="FF99CCFF"/>
      <rgbColor rgb="FFFF99CC"/>
      <rgbColor rgb="FFCC99FF"/>
      <rgbColor rgb="FFF7CFCB"/>
      <rgbColor rgb="FF3366FF"/>
      <rgbColor rgb="FF33CCCC"/>
      <rgbColor rgb="FF99CC00"/>
      <rgbColor rgb="FFFFCC00"/>
      <rgbColor rgb="FFFF9900"/>
      <rgbColor rgb="FFE8540A"/>
      <rgbColor rgb="FF6B6B6B"/>
      <rgbColor rgb="FF9AA1AC"/>
      <rgbColor rgb="FF003366"/>
      <rgbColor rgb="FF339966"/>
      <rgbColor rgb="FF003300"/>
      <rgbColor rgb="FF333300"/>
      <rgbColor rgb="FFB23F06"/>
      <rgbColor rgb="FF993366"/>
      <rgbColor rgb="FF455A64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6"/>
  </cols>
  <sheetData>
    <row r="1" customFormat="false" ht="30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3" customFormat="false" ht="13.5" hidden="false" customHeight="true" outlineLevel="0" collapsed="false">
      <c r="A3" s="3" t="s">
        <v>2</v>
      </c>
      <c r="B3" s="3"/>
    </row>
    <row r="5" customFormat="false" ht="21.75" hidden="false" customHeight="true" outlineLevel="0" collapsed="false">
      <c r="B5" s="4" t="s">
        <v>3</v>
      </c>
    </row>
    <row r="6" customFormat="false" ht="30" hidden="false" customHeight="true" outlineLevel="0" collapsed="false">
      <c r="B6" s="5" t="s">
        <v>4</v>
      </c>
    </row>
    <row r="7" customFormat="false" ht="6" hidden="false" customHeight="true" outlineLevel="0" collapsed="false">
      <c r="B7" s="5"/>
    </row>
    <row r="8" customFormat="false" ht="21.75" hidden="false" customHeight="true" outlineLevel="0" collapsed="false">
      <c r="B8" s="4" t="s">
        <v>5</v>
      </c>
    </row>
    <row r="9" customFormat="false" ht="30" hidden="false" customHeight="true" outlineLevel="0" collapsed="false">
      <c r="B9" s="5" t="s">
        <v>6</v>
      </c>
    </row>
    <row r="10" customFormat="false" ht="30" hidden="false" customHeight="true" outlineLevel="0" collapsed="false">
      <c r="B10" s="5" t="s">
        <v>7</v>
      </c>
    </row>
    <row r="11" customFormat="false" ht="30" hidden="false" customHeight="true" outlineLevel="0" collapsed="false">
      <c r="B11" s="5" t="s">
        <v>8</v>
      </c>
    </row>
    <row r="12" customFormat="false" ht="30" hidden="false" customHeight="true" outlineLevel="0" collapsed="false">
      <c r="B12" s="5" t="s">
        <v>9</v>
      </c>
    </row>
    <row r="13" customFormat="false" ht="6" hidden="false" customHeight="true" outlineLevel="0" collapsed="false">
      <c r="B13" s="5"/>
    </row>
    <row r="14" customFormat="false" ht="21.75" hidden="false" customHeight="true" outlineLevel="0" collapsed="false">
      <c r="B14" s="4" t="s">
        <v>10</v>
      </c>
    </row>
    <row r="15" customFormat="false" ht="30" hidden="false" customHeight="true" outlineLevel="0" collapsed="false">
      <c r="B15" s="5" t="s">
        <v>11</v>
      </c>
    </row>
    <row r="16" customFormat="false" ht="6" hidden="false" customHeight="true" outlineLevel="0" collapsed="false">
      <c r="B16" s="5"/>
    </row>
    <row r="17" customFormat="false" ht="21.75" hidden="false" customHeight="true" outlineLevel="0" collapsed="false">
      <c r="B17" s="4" t="s">
        <v>12</v>
      </c>
    </row>
    <row r="18" customFormat="false" ht="30" hidden="false" customHeight="true" outlineLevel="0" collapsed="false">
      <c r="B18" s="5" t="s">
        <v>13</v>
      </c>
    </row>
    <row r="20" customFormat="false" ht="15" hidden="false" customHeight="false" outlineLevel="0" collapsed="false">
      <c r="A20" s="6" t="s">
        <v>14</v>
      </c>
      <c r="B20" s="6"/>
    </row>
  </sheetData>
  <mergeCells count="4">
    <mergeCell ref="A1:B1"/>
    <mergeCell ref="A2:B2"/>
    <mergeCell ref="A3:B3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0"/>
  </cols>
  <sheetData>
    <row r="1" customFormat="false" ht="30" hidden="false" customHeight="true" outlineLevel="0" collapsed="false">
      <c r="A1" s="1" t="s">
        <v>15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16</v>
      </c>
      <c r="B2" s="2"/>
      <c r="C2" s="2"/>
      <c r="D2" s="2"/>
      <c r="E2" s="2"/>
      <c r="F2" s="2"/>
    </row>
    <row r="3" customFormat="false" ht="13.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true" outlineLevel="0" collapsed="false">
      <c r="B5" s="7" t="s">
        <v>17</v>
      </c>
      <c r="C5" s="8" t="s">
        <v>18</v>
      </c>
      <c r="D5" s="8"/>
      <c r="E5" s="8"/>
      <c r="F5" s="8"/>
    </row>
    <row r="6" customFormat="false" ht="15" hidden="false" customHeight="true" outlineLevel="0" collapsed="false">
      <c r="B6" s="7" t="s">
        <v>19</v>
      </c>
      <c r="C6" s="8" t="s">
        <v>20</v>
      </c>
      <c r="D6" s="8"/>
      <c r="E6" s="8"/>
      <c r="F6" s="8"/>
    </row>
    <row r="7" customFormat="false" ht="15" hidden="false" customHeight="true" outlineLevel="0" collapsed="false">
      <c r="B7" s="7" t="s">
        <v>21</v>
      </c>
      <c r="C7" s="8" t="s">
        <v>22</v>
      </c>
      <c r="D7" s="8"/>
      <c r="E7" s="8"/>
      <c r="F7" s="8"/>
    </row>
    <row r="8" customFormat="false" ht="15" hidden="false" customHeight="true" outlineLevel="0" collapsed="false">
      <c r="B8" s="7" t="s">
        <v>23</v>
      </c>
      <c r="C8" s="8" t="s">
        <v>24</v>
      </c>
      <c r="D8" s="8"/>
      <c r="E8" s="8"/>
      <c r="F8" s="8"/>
    </row>
    <row r="10" customFormat="false" ht="21.75" hidden="false" customHeight="true" outlineLevel="0" collapsed="false">
      <c r="A10" s="9" t="s">
        <v>25</v>
      </c>
      <c r="B10" s="9"/>
      <c r="C10" s="9"/>
      <c r="D10" s="9"/>
      <c r="E10" s="9"/>
      <c r="F10" s="9"/>
    </row>
    <row r="11" customFormat="false" ht="15" hidden="false" customHeight="false" outlineLevel="0" collapsed="false">
      <c r="B11" s="7" t="s">
        <v>26</v>
      </c>
      <c r="C11" s="10" t="n">
        <f aca="false">IFERROR(COUNTIF(D16:D54,"Done")/(COUNTA(D16:D54)-COUNTIF(D16:D54,"N/A")),0)</f>
        <v>0.344827586206897</v>
      </c>
      <c r="D11" s="7" t="s">
        <v>27</v>
      </c>
      <c r="E11" s="11" t="str">
        <f aca="false">IF(AND(C11=1,COUNTIF(D16:D54,"Blocked")=0),"GO","Not ready")</f>
        <v>Not ready</v>
      </c>
      <c r="F11" s="11"/>
    </row>
    <row r="13" customFormat="false" ht="21.75" hidden="false" customHeight="true" outlineLevel="0" collapsed="false">
      <c r="A13" s="9" t="s">
        <v>28</v>
      </c>
      <c r="B13" s="9"/>
      <c r="C13" s="9"/>
      <c r="D13" s="9"/>
      <c r="E13" s="9"/>
      <c r="F13" s="9"/>
    </row>
    <row r="14" customFormat="false" ht="30" hidden="false" customHeight="true" outlineLevel="0" collapsed="false">
      <c r="B14" s="12" t="s">
        <v>29</v>
      </c>
      <c r="C14" s="12" t="s">
        <v>30</v>
      </c>
      <c r="D14" s="12" t="s">
        <v>31</v>
      </c>
      <c r="E14" s="12" t="s">
        <v>32</v>
      </c>
      <c r="F14" s="12" t="s">
        <v>33</v>
      </c>
    </row>
    <row r="15" customFormat="false" ht="15" hidden="false" customHeight="false" outlineLevel="0" collapsed="false">
      <c r="B15" s="13" t="s">
        <v>34</v>
      </c>
      <c r="C15" s="13"/>
      <c r="D15" s="13"/>
      <c r="E15" s="13"/>
      <c r="F15" s="13"/>
    </row>
    <row r="16" customFormat="false" ht="21.75" hidden="false" customHeight="true" outlineLevel="0" collapsed="false">
      <c r="B16" s="8" t="s">
        <v>35</v>
      </c>
      <c r="C16" s="14" t="s">
        <v>36</v>
      </c>
      <c r="D16" s="14" t="s">
        <v>37</v>
      </c>
      <c r="E16" s="14" t="s">
        <v>38</v>
      </c>
      <c r="F16" s="8"/>
    </row>
    <row r="17" customFormat="false" ht="21.75" hidden="false" customHeight="true" outlineLevel="0" collapsed="false">
      <c r="B17" s="8" t="s">
        <v>39</v>
      </c>
      <c r="C17" s="14" t="s">
        <v>36</v>
      </c>
      <c r="D17" s="14" t="s">
        <v>40</v>
      </c>
      <c r="E17" s="14" t="s">
        <v>41</v>
      </c>
      <c r="F17" s="8"/>
    </row>
    <row r="18" customFormat="false" ht="21.75" hidden="false" customHeight="true" outlineLevel="0" collapsed="false">
      <c r="B18" s="8" t="s">
        <v>42</v>
      </c>
      <c r="C18" s="14" t="s">
        <v>36</v>
      </c>
      <c r="D18" s="14" t="s">
        <v>37</v>
      </c>
      <c r="E18" s="14" t="s">
        <v>38</v>
      </c>
      <c r="F18" s="8"/>
    </row>
    <row r="19" customFormat="false" ht="15" hidden="false" customHeight="false" outlineLevel="0" collapsed="false">
      <c r="B19" s="13" t="s">
        <v>43</v>
      </c>
      <c r="C19" s="13"/>
      <c r="D19" s="13"/>
      <c r="E19" s="13"/>
      <c r="F19" s="13"/>
    </row>
    <row r="20" customFormat="false" ht="21.75" hidden="false" customHeight="true" outlineLevel="0" collapsed="false">
      <c r="B20" s="8" t="s">
        <v>44</v>
      </c>
      <c r="C20" s="14" t="s">
        <v>45</v>
      </c>
      <c r="D20" s="14" t="s">
        <v>37</v>
      </c>
      <c r="E20" s="14" t="s">
        <v>46</v>
      </c>
      <c r="F20" s="8"/>
    </row>
    <row r="21" customFormat="false" ht="21.75" hidden="false" customHeight="true" outlineLevel="0" collapsed="false">
      <c r="B21" s="8" t="s">
        <v>47</v>
      </c>
      <c r="C21" s="14" t="s">
        <v>48</v>
      </c>
      <c r="D21" s="14" t="s">
        <v>40</v>
      </c>
      <c r="E21" s="14" t="s">
        <v>49</v>
      </c>
      <c r="F21" s="8"/>
    </row>
    <row r="22" customFormat="false" ht="21.75" hidden="false" customHeight="true" outlineLevel="0" collapsed="false">
      <c r="B22" s="8" t="s">
        <v>50</v>
      </c>
      <c r="C22" s="14" t="s">
        <v>45</v>
      </c>
      <c r="D22" s="14" t="s">
        <v>37</v>
      </c>
      <c r="E22" s="14" t="s">
        <v>46</v>
      </c>
      <c r="F22" s="8"/>
    </row>
    <row r="23" customFormat="false" ht="21.75" hidden="false" customHeight="true" outlineLevel="0" collapsed="false">
      <c r="B23" s="8" t="s">
        <v>51</v>
      </c>
      <c r="C23" s="14" t="s">
        <v>48</v>
      </c>
      <c r="D23" s="14" t="s">
        <v>52</v>
      </c>
      <c r="E23" s="14" t="s">
        <v>53</v>
      </c>
      <c r="F23" s="8"/>
    </row>
    <row r="24" customFormat="false" ht="15" hidden="false" customHeight="false" outlineLevel="0" collapsed="false">
      <c r="B24" s="13" t="s">
        <v>54</v>
      </c>
      <c r="C24" s="13"/>
      <c r="D24" s="13"/>
      <c r="E24" s="13"/>
      <c r="F24" s="13"/>
    </row>
    <row r="25" customFormat="false" ht="21.75" hidden="false" customHeight="true" outlineLevel="0" collapsed="false">
      <c r="B25" s="8" t="s">
        <v>55</v>
      </c>
      <c r="C25" s="14" t="s">
        <v>56</v>
      </c>
      <c r="D25" s="14" t="s">
        <v>40</v>
      </c>
      <c r="E25" s="14" t="s">
        <v>53</v>
      </c>
      <c r="F25" s="8"/>
    </row>
    <row r="26" customFormat="false" ht="21.75" hidden="false" customHeight="true" outlineLevel="0" collapsed="false">
      <c r="B26" s="8" t="s">
        <v>57</v>
      </c>
      <c r="C26" s="14" t="s">
        <v>56</v>
      </c>
      <c r="D26" s="14" t="s">
        <v>37</v>
      </c>
      <c r="E26" s="14" t="s">
        <v>46</v>
      </c>
      <c r="F26" s="8"/>
    </row>
    <row r="27" customFormat="false" ht="21.75" hidden="false" customHeight="true" outlineLevel="0" collapsed="false">
      <c r="B27" s="8" t="s">
        <v>58</v>
      </c>
      <c r="C27" s="14" t="s">
        <v>56</v>
      </c>
      <c r="D27" s="14" t="s">
        <v>52</v>
      </c>
      <c r="E27" s="14" t="s">
        <v>59</v>
      </c>
      <c r="F27" s="8"/>
    </row>
    <row r="28" customFormat="false" ht="15" hidden="false" customHeight="false" outlineLevel="0" collapsed="false">
      <c r="B28" s="13" t="s">
        <v>60</v>
      </c>
      <c r="C28" s="13"/>
      <c r="D28" s="13"/>
      <c r="E28" s="13"/>
      <c r="F28" s="13"/>
    </row>
    <row r="29" customFormat="false" ht="21.75" hidden="false" customHeight="true" outlineLevel="0" collapsed="false">
      <c r="B29" s="8" t="s">
        <v>61</v>
      </c>
      <c r="C29" s="14" t="s">
        <v>62</v>
      </c>
      <c r="D29" s="14" t="s">
        <v>37</v>
      </c>
      <c r="E29" s="14" t="s">
        <v>63</v>
      </c>
      <c r="F29" s="8"/>
    </row>
    <row r="30" customFormat="false" ht="21.75" hidden="false" customHeight="true" outlineLevel="0" collapsed="false">
      <c r="B30" s="8" t="s">
        <v>64</v>
      </c>
      <c r="C30" s="14" t="s">
        <v>65</v>
      </c>
      <c r="D30" s="14" t="s">
        <v>37</v>
      </c>
      <c r="E30" s="14" t="s">
        <v>66</v>
      </c>
      <c r="F30" s="8"/>
    </row>
    <row r="31" customFormat="false" ht="21.75" hidden="false" customHeight="true" outlineLevel="0" collapsed="false">
      <c r="B31" s="8" t="s">
        <v>67</v>
      </c>
      <c r="C31" s="14" t="s">
        <v>62</v>
      </c>
      <c r="D31" s="14" t="s">
        <v>40</v>
      </c>
      <c r="E31" s="14" t="s">
        <v>49</v>
      </c>
      <c r="F31" s="8"/>
    </row>
    <row r="32" customFormat="false" ht="15" hidden="false" customHeight="false" outlineLevel="0" collapsed="false">
      <c r="B32" s="13" t="s">
        <v>68</v>
      </c>
      <c r="C32" s="13"/>
      <c r="D32" s="13"/>
      <c r="E32" s="13"/>
      <c r="F32" s="13"/>
    </row>
    <row r="33" customFormat="false" ht="21.75" hidden="false" customHeight="true" outlineLevel="0" collapsed="false">
      <c r="B33" s="8" t="s">
        <v>69</v>
      </c>
      <c r="C33" s="14" t="s">
        <v>68</v>
      </c>
      <c r="D33" s="14" t="s">
        <v>40</v>
      </c>
      <c r="E33" s="14" t="s">
        <v>49</v>
      </c>
      <c r="F33" s="8"/>
    </row>
    <row r="34" customFormat="false" ht="21.75" hidden="false" customHeight="true" outlineLevel="0" collapsed="false">
      <c r="B34" s="8" t="s">
        <v>70</v>
      </c>
      <c r="C34" s="14" t="s">
        <v>68</v>
      </c>
      <c r="D34" s="14" t="s">
        <v>52</v>
      </c>
      <c r="E34" s="14" t="s">
        <v>53</v>
      </c>
      <c r="F34" s="8"/>
    </row>
    <row r="35" customFormat="false" ht="15" hidden="false" customHeight="false" outlineLevel="0" collapsed="false">
      <c r="B35" s="13" t="s">
        <v>71</v>
      </c>
      <c r="C35" s="13"/>
      <c r="D35" s="13"/>
      <c r="E35" s="13"/>
      <c r="F35" s="13"/>
    </row>
    <row r="36" customFormat="false" ht="21.75" hidden="false" customHeight="true" outlineLevel="0" collapsed="false">
      <c r="B36" s="8" t="s">
        <v>72</v>
      </c>
      <c r="C36" s="14" t="s">
        <v>73</v>
      </c>
      <c r="D36" s="14" t="s">
        <v>52</v>
      </c>
      <c r="E36" s="14" t="s">
        <v>59</v>
      </c>
      <c r="F36" s="8"/>
    </row>
    <row r="37" customFormat="false" ht="21.75" hidden="false" customHeight="true" outlineLevel="0" collapsed="false">
      <c r="B37" s="8" t="s">
        <v>74</v>
      </c>
      <c r="C37" s="14" t="s">
        <v>73</v>
      </c>
      <c r="D37" s="14" t="s">
        <v>40</v>
      </c>
      <c r="E37" s="14" t="s">
        <v>53</v>
      </c>
      <c r="F37" s="8"/>
    </row>
    <row r="38" customFormat="false" ht="21.75" hidden="false" customHeight="true" outlineLevel="0" collapsed="false">
      <c r="B38" s="8" t="s">
        <v>75</v>
      </c>
      <c r="C38" s="14" t="s">
        <v>73</v>
      </c>
      <c r="D38" s="14" t="s">
        <v>37</v>
      </c>
      <c r="E38" s="14" t="s">
        <v>38</v>
      </c>
      <c r="F38" s="8"/>
    </row>
    <row r="39" customFormat="false" ht="15" hidden="false" customHeight="false" outlineLevel="0" collapsed="false">
      <c r="B39" s="13" t="s">
        <v>76</v>
      </c>
      <c r="C39" s="13"/>
      <c r="D39" s="13"/>
      <c r="E39" s="13"/>
      <c r="F39" s="13"/>
    </row>
    <row r="40" customFormat="false" ht="21.75" hidden="false" customHeight="true" outlineLevel="0" collapsed="false">
      <c r="B40" s="8" t="s">
        <v>77</v>
      </c>
      <c r="C40" s="14" t="s">
        <v>76</v>
      </c>
      <c r="D40" s="14" t="s">
        <v>40</v>
      </c>
      <c r="E40" s="14" t="s">
        <v>59</v>
      </c>
      <c r="F40" s="8"/>
    </row>
    <row r="41" customFormat="false" ht="21.75" hidden="false" customHeight="true" outlineLevel="0" collapsed="false">
      <c r="B41" s="8" t="s">
        <v>78</v>
      </c>
      <c r="C41" s="14" t="s">
        <v>76</v>
      </c>
      <c r="D41" s="14" t="s">
        <v>52</v>
      </c>
      <c r="E41" s="14" t="s">
        <v>79</v>
      </c>
      <c r="F41" s="8"/>
    </row>
    <row r="42" customFormat="false" ht="21.75" hidden="false" customHeight="true" outlineLevel="0" collapsed="false">
      <c r="B42" s="8" t="s">
        <v>80</v>
      </c>
      <c r="C42" s="14" t="s">
        <v>76</v>
      </c>
      <c r="D42" s="14" t="s">
        <v>52</v>
      </c>
      <c r="E42" s="14" t="s">
        <v>81</v>
      </c>
      <c r="F42" s="8"/>
    </row>
    <row r="43" customFormat="false" ht="15" hidden="false" customHeight="false" outlineLevel="0" collapsed="false">
      <c r="B43" s="13" t="s">
        <v>82</v>
      </c>
      <c r="C43" s="13"/>
      <c r="D43" s="13"/>
      <c r="E43" s="13"/>
      <c r="F43" s="13"/>
    </row>
    <row r="44" customFormat="false" ht="21.75" hidden="false" customHeight="true" outlineLevel="0" collapsed="false">
      <c r="B44" s="8" t="s">
        <v>83</v>
      </c>
      <c r="C44" s="14" t="s">
        <v>84</v>
      </c>
      <c r="D44" s="14" t="s">
        <v>52</v>
      </c>
      <c r="E44" s="14" t="s">
        <v>79</v>
      </c>
      <c r="F44" s="8"/>
    </row>
    <row r="45" customFormat="false" ht="21.75" hidden="false" customHeight="true" outlineLevel="0" collapsed="false">
      <c r="B45" s="8" t="s">
        <v>85</v>
      </c>
      <c r="C45" s="14" t="s">
        <v>84</v>
      </c>
      <c r="D45" s="14" t="s">
        <v>86</v>
      </c>
      <c r="E45" s="14"/>
      <c r="F45" s="8" t="s">
        <v>87</v>
      </c>
    </row>
    <row r="46" customFormat="false" ht="15" hidden="false" customHeight="false" outlineLevel="0" collapsed="false">
      <c r="B46" s="13" t="s">
        <v>88</v>
      </c>
      <c r="C46" s="13"/>
      <c r="D46" s="13"/>
      <c r="E46" s="13"/>
      <c r="F46" s="13"/>
    </row>
    <row r="47" customFormat="false" ht="21.75" hidden="false" customHeight="true" outlineLevel="0" collapsed="false">
      <c r="B47" s="8" t="s">
        <v>89</v>
      </c>
      <c r="C47" s="14" t="s">
        <v>36</v>
      </c>
      <c r="D47" s="14" t="s">
        <v>37</v>
      </c>
      <c r="E47" s="14" t="s">
        <v>38</v>
      </c>
      <c r="F47" s="8"/>
    </row>
    <row r="48" customFormat="false" ht="21.75" hidden="false" customHeight="true" outlineLevel="0" collapsed="false">
      <c r="B48" s="8" t="s">
        <v>90</v>
      </c>
      <c r="C48" s="14" t="s">
        <v>48</v>
      </c>
      <c r="D48" s="14" t="s">
        <v>40</v>
      </c>
      <c r="E48" s="14" t="s">
        <v>49</v>
      </c>
      <c r="F48" s="8"/>
    </row>
    <row r="49" customFormat="false" ht="21.75" hidden="false" customHeight="true" outlineLevel="0" collapsed="false">
      <c r="B49" s="8" t="s">
        <v>91</v>
      </c>
      <c r="C49" s="14" t="s">
        <v>36</v>
      </c>
      <c r="D49" s="14" t="s">
        <v>37</v>
      </c>
      <c r="E49" s="14" t="s">
        <v>38</v>
      </c>
      <c r="F49" s="8"/>
    </row>
    <row r="50" customFormat="false" ht="15" hidden="false" customHeight="false" outlineLevel="0" collapsed="false">
      <c r="B50" s="13" t="s">
        <v>92</v>
      </c>
      <c r="C50" s="13"/>
      <c r="D50" s="13"/>
      <c r="E50" s="13"/>
      <c r="F50" s="13"/>
    </row>
    <row r="51" customFormat="false" ht="21.75" hidden="false" customHeight="true" outlineLevel="0" collapsed="false">
      <c r="B51" s="8" t="s">
        <v>93</v>
      </c>
      <c r="C51" s="14" t="s">
        <v>94</v>
      </c>
      <c r="D51" s="14" t="s">
        <v>52</v>
      </c>
      <c r="E51" s="14" t="s">
        <v>81</v>
      </c>
      <c r="F51" s="8"/>
    </row>
    <row r="52" customFormat="false" ht="21.75" hidden="false" customHeight="true" outlineLevel="0" collapsed="false">
      <c r="B52" s="8" t="s">
        <v>95</v>
      </c>
      <c r="C52" s="14" t="s">
        <v>62</v>
      </c>
      <c r="D52" s="14" t="s">
        <v>52</v>
      </c>
      <c r="E52" s="14" t="s">
        <v>81</v>
      </c>
      <c r="F52" s="8"/>
    </row>
    <row r="53" customFormat="false" ht="21.75" hidden="false" customHeight="true" outlineLevel="0" collapsed="false">
      <c r="B53" s="8" t="s">
        <v>96</v>
      </c>
      <c r="C53" s="14" t="s">
        <v>73</v>
      </c>
      <c r="D53" s="14" t="s">
        <v>52</v>
      </c>
      <c r="E53" s="14" t="s">
        <v>81</v>
      </c>
      <c r="F53" s="8"/>
    </row>
    <row r="54" customFormat="false" ht="21.75" hidden="false" customHeight="true" outlineLevel="0" collapsed="false">
      <c r="B54" s="8" t="s">
        <v>97</v>
      </c>
      <c r="C54" s="14" t="s">
        <v>36</v>
      </c>
      <c r="D54" s="14" t="s">
        <v>52</v>
      </c>
      <c r="E54" s="14" t="s">
        <v>81</v>
      </c>
      <c r="F54" s="8"/>
    </row>
    <row r="56" customFormat="false" ht="15" hidden="false" customHeight="false" outlineLevel="0" collapsed="false">
      <c r="A56" s="6" t="s">
        <v>14</v>
      </c>
      <c r="B56" s="6"/>
      <c r="C56" s="6"/>
      <c r="D56" s="6"/>
      <c r="E56" s="6"/>
      <c r="F56" s="6"/>
    </row>
  </sheetData>
  <mergeCells count="21">
    <mergeCell ref="A1:F1"/>
    <mergeCell ref="A2:F2"/>
    <mergeCell ref="A3:F3"/>
    <mergeCell ref="C5:F5"/>
    <mergeCell ref="C6:F6"/>
    <mergeCell ref="C7:F7"/>
    <mergeCell ref="C8:F8"/>
    <mergeCell ref="A10:F10"/>
    <mergeCell ref="E11:F11"/>
    <mergeCell ref="A13:F13"/>
    <mergeCell ref="B15:F15"/>
    <mergeCell ref="B19:F19"/>
    <mergeCell ref="B24:F24"/>
    <mergeCell ref="B28:F28"/>
    <mergeCell ref="B32:F32"/>
    <mergeCell ref="B35:F35"/>
    <mergeCell ref="B39:F39"/>
    <mergeCell ref="B43:F43"/>
    <mergeCell ref="B46:F46"/>
    <mergeCell ref="B50:F50"/>
    <mergeCell ref="A56:F56"/>
  </mergeCells>
  <conditionalFormatting sqref="D16:D54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0">
      <formula>"Complete"</formula>
    </cfRule>
    <cfRule type="cellIs" priority="4" operator="equal" aboveAverage="0" equalAverage="0" bottom="0" percent="0" rank="0" text="" dxfId="0">
      <formula>"Shipped"</formula>
    </cfRule>
    <cfRule type="cellIs" priority="5" operator="equal" aboveAverage="0" equalAverage="0" bottom="0" percent="0" rank="0" text="" dxfId="0">
      <formula>"GO"</formula>
    </cfRule>
    <cfRule type="cellIs" priority="6" operator="equal" aboveAverage="0" equalAverage="0" bottom="0" percent="0" rank="0" text="" dxfId="0">
      <formula>"On track"</formula>
    </cfRule>
    <cfRule type="cellIs" priority="7" operator="equal" aboveAverage="0" equalAverage="0" bottom="0" percent="0" rank="0" text="" dxfId="1">
      <formula>"In progress"</formula>
    </cfRule>
    <cfRule type="cellIs" priority="8" operator="equal" aboveAverage="0" equalAverage="0" bottom="0" percent="0" rank="0" text="" dxfId="1">
      <formula>"In review"</formula>
    </cfRule>
    <cfRule type="cellIs" priority="9" operator="equal" aboveAverage="0" equalAverage="0" bottom="0" percent="0" rank="0" text="" dxfId="1">
      <formula>"At risk"</formula>
    </cfRule>
    <cfRule type="cellIs" priority="10" operator="equal" aboveAverage="0" equalAverage="0" bottom="0" percent="0" rank="0" text="" dxfId="2">
      <formula>"Blocked"</formula>
    </cfRule>
    <cfRule type="cellIs" priority="11" operator="equal" aboveAverage="0" equalAverage="0" bottom="0" percent="0" rank="0" text="" dxfId="2">
      <formula>"No-Go"</formula>
    </cfRule>
    <cfRule type="cellIs" priority="12" operator="equal" aboveAverage="0" equalAverage="0" bottom="0" percent="0" rank="0" text="" dxfId="2">
      <formula>"Off track"</formula>
    </cfRule>
    <cfRule type="cellIs" priority="13" operator="equal" aboveAverage="0" equalAverage="0" bottom="0" percent="0" rank="0" text="" dxfId="3">
      <formula>"To do"</formula>
    </cfRule>
    <cfRule type="cellIs" priority="14" operator="equal" aboveAverage="0" equalAverage="0" bottom="0" percent="0" rank="0" text="" dxfId="3">
      <formula>"Not started"</formula>
    </cfRule>
    <cfRule type="cellIs" priority="15" operator="equal" aboveAverage="0" equalAverage="0" bottom="0" percent="0" rank="0" text="" dxfId="3">
      <formula>"Backlog"</formula>
    </cfRule>
    <cfRule type="cellIs" priority="16" operator="equal" aboveAverage="0" equalAverage="0" bottom="0" percent="0" rank="0" text="" dxfId="4">
      <formula>"N/A"</formula>
    </cfRule>
  </conditionalFormatting>
  <conditionalFormatting sqref="E11">
    <cfRule type="cellIs" priority="17" operator="equal" aboveAverage="0" equalAverage="0" bottom="0" percent="0" rank="0" text="" dxfId="0">
      <formula>"GO"</formula>
    </cfRule>
  </conditionalFormatting>
  <dataValidations count="1">
    <dataValidation allowBlank="true" errorStyle="stop" operator="between" showDropDown="false" showErrorMessage="false" showInputMessage="false" sqref="D16:D18 D20:D23 D25:D27 D29:D31 D33:D34 D36:D38 D40:D42 D44:D45 D47:D49 D51:D54" type="list">
      <formula1>"Not started,In progress,Blocked,Done,N/A"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4"/>
  </cols>
  <sheetData>
    <row r="1" customFormat="false" ht="30" hidden="false" customHeight="true" outlineLevel="0" collapsed="false">
      <c r="A1" s="1" t="s">
        <v>98</v>
      </c>
      <c r="B1" s="1"/>
    </row>
    <row r="2" customFormat="false" ht="18" hidden="false" customHeight="true" outlineLevel="0" collapsed="false">
      <c r="A2" s="2" t="s">
        <v>99</v>
      </c>
      <c r="B2" s="2"/>
    </row>
    <row r="3" customFormat="false" ht="13.5" hidden="false" customHeight="true" outlineLevel="0" collapsed="false">
      <c r="A3" s="3" t="s">
        <v>2</v>
      </c>
      <c r="B3" s="3"/>
    </row>
    <row r="5" customFormat="false" ht="15" hidden="false" customHeight="false" outlineLevel="0" collapsed="false">
      <c r="B5" s="15" t="s">
        <v>100</v>
      </c>
    </row>
    <row r="6" customFormat="false" ht="43.5" hidden="false" customHeight="true" outlineLevel="0" collapsed="false">
      <c r="B6" s="16" t="s">
        <v>101</v>
      </c>
    </row>
    <row r="8" customFormat="false" ht="19.5" hidden="false" customHeight="true" outlineLevel="0" collapsed="false">
      <c r="B8" s="17" t="s">
        <v>102</v>
      </c>
    </row>
    <row r="9" customFormat="false" ht="27.75" hidden="false" customHeight="true" outlineLevel="0" collapsed="false">
      <c r="B9" s="18" t="s">
        <v>103</v>
      </c>
    </row>
    <row r="10" customFormat="false" ht="27.75" hidden="false" customHeight="true" outlineLevel="0" collapsed="false">
      <c r="B10" s="18" t="s">
        <v>104</v>
      </c>
    </row>
    <row r="11" customFormat="false" ht="27.75" hidden="false" customHeight="true" outlineLevel="0" collapsed="false">
      <c r="B11" s="18" t="s">
        <v>105</v>
      </c>
    </row>
    <row r="13" customFormat="false" ht="19.5" hidden="false" customHeight="true" outlineLevel="0" collapsed="false">
      <c r="B13" s="17" t="s">
        <v>106</v>
      </c>
    </row>
    <row r="14" customFormat="false" ht="27.75" hidden="false" customHeight="true" outlineLevel="0" collapsed="false">
      <c r="B14" s="18" t="s">
        <v>107</v>
      </c>
    </row>
    <row r="16" customFormat="false" ht="19.5" hidden="false" customHeight="true" outlineLevel="0" collapsed="false">
      <c r="B16" s="17" t="s">
        <v>108</v>
      </c>
    </row>
    <row r="17" customFormat="false" ht="27.75" hidden="false" customHeight="true" outlineLevel="0" collapsed="false">
      <c r="B17" s="18" t="s">
        <v>109</v>
      </c>
    </row>
    <row r="19" customFormat="false" ht="19.5" hidden="false" customHeight="true" outlineLevel="0" collapsed="false">
      <c r="B19" s="17" t="s">
        <v>110</v>
      </c>
    </row>
    <row r="20" customFormat="false" ht="27.75" hidden="false" customHeight="true" outlineLevel="0" collapsed="false">
      <c r="B20" s="18" t="s">
        <v>111</v>
      </c>
    </row>
    <row r="22" customFormat="false" ht="19.5" hidden="false" customHeight="true" outlineLevel="0" collapsed="false">
      <c r="B22" s="17" t="s">
        <v>112</v>
      </c>
    </row>
    <row r="23" customFormat="false" ht="27.75" hidden="false" customHeight="true" outlineLevel="0" collapsed="false">
      <c r="B23" s="18" t="s">
        <v>113</v>
      </c>
    </row>
    <row r="25" customFormat="false" ht="15" hidden="false" customHeight="false" outlineLevel="0" collapsed="false">
      <c r="B25" s="19" t="s">
        <v>114</v>
      </c>
    </row>
    <row r="27" customFormat="false" ht="15" hidden="false" customHeight="false" outlineLevel="0" collapsed="false">
      <c r="A27" s="6" t="s">
        <v>14</v>
      </c>
      <c r="B27" s="6"/>
    </row>
  </sheetData>
  <mergeCells count="4">
    <mergeCell ref="A1:B1"/>
    <mergeCell ref="A2:B2"/>
    <mergeCell ref="A3:B3"/>
    <mergeCell ref="A27:B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0"/>
  </cols>
  <sheetData>
    <row r="1" customFormat="false" ht="30" hidden="false" customHeight="true" outlineLevel="0" collapsed="false">
      <c r="A1" s="1" t="s">
        <v>115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116</v>
      </c>
      <c r="B2" s="2"/>
      <c r="C2" s="2"/>
      <c r="D2" s="2"/>
      <c r="E2" s="2"/>
      <c r="F2" s="2"/>
    </row>
    <row r="3" customFormat="false" ht="13.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B5" s="7" t="s">
        <v>17</v>
      </c>
      <c r="C5" s="8"/>
      <c r="D5" s="8"/>
      <c r="E5" s="8"/>
      <c r="F5" s="8"/>
    </row>
    <row r="6" customFormat="false" ht="15" hidden="false" customHeight="false" outlineLevel="0" collapsed="false">
      <c r="B6" s="7" t="s">
        <v>19</v>
      </c>
      <c r="C6" s="8"/>
      <c r="D6" s="8"/>
      <c r="E6" s="8"/>
      <c r="F6" s="8"/>
    </row>
    <row r="7" customFormat="false" ht="15" hidden="false" customHeight="false" outlineLevel="0" collapsed="false">
      <c r="B7" s="7" t="s">
        <v>21</v>
      </c>
      <c r="C7" s="8"/>
      <c r="D7" s="8"/>
      <c r="E7" s="8"/>
      <c r="F7" s="8"/>
    </row>
    <row r="8" customFormat="false" ht="15" hidden="false" customHeight="false" outlineLevel="0" collapsed="false">
      <c r="B8" s="7" t="s">
        <v>23</v>
      </c>
      <c r="C8" s="8"/>
      <c r="D8" s="8"/>
      <c r="E8" s="8"/>
      <c r="F8" s="8"/>
    </row>
    <row r="10" customFormat="false" ht="21.75" hidden="false" customHeight="true" outlineLevel="0" collapsed="false">
      <c r="A10" s="9" t="s">
        <v>25</v>
      </c>
      <c r="B10" s="9"/>
      <c r="C10" s="9"/>
      <c r="D10" s="9"/>
      <c r="E10" s="9"/>
      <c r="F10" s="9"/>
    </row>
    <row r="11" customFormat="false" ht="15" hidden="false" customHeight="false" outlineLevel="0" collapsed="false">
      <c r="B11" s="7" t="s">
        <v>26</v>
      </c>
      <c r="C11" s="10" t="n">
        <f aca="false">IFERROR(COUNTIF(D16:D30,"Done")/(COUNTA(D16:D30)-COUNTIF(D16:D30,"N/A")),0)</f>
        <v>0</v>
      </c>
      <c r="D11" s="7" t="s">
        <v>27</v>
      </c>
      <c r="E11" s="11" t="str">
        <f aca="false">IF(AND(C11=1,COUNTIF(D16:D30,"Blocked")=0),"GO","Not ready")</f>
        <v>Not ready</v>
      </c>
      <c r="F11" s="11"/>
    </row>
    <row r="13" customFormat="false" ht="21.75" hidden="false" customHeight="true" outlineLevel="0" collapsed="false">
      <c r="A13" s="9" t="s">
        <v>28</v>
      </c>
      <c r="B13" s="9"/>
      <c r="C13" s="9"/>
      <c r="D13" s="9"/>
      <c r="E13" s="9"/>
      <c r="F13" s="9"/>
    </row>
    <row r="14" customFormat="false" ht="30" hidden="false" customHeight="true" outlineLevel="0" collapsed="false">
      <c r="B14" s="12" t="s">
        <v>29</v>
      </c>
      <c r="C14" s="12" t="s">
        <v>30</v>
      </c>
      <c r="D14" s="12" t="s">
        <v>31</v>
      </c>
      <c r="E14" s="12" t="s">
        <v>32</v>
      </c>
      <c r="F14" s="12" t="s">
        <v>33</v>
      </c>
    </row>
    <row r="15" customFormat="false" ht="15" hidden="false" customHeight="false" outlineLevel="0" collapsed="false">
      <c r="B15" s="13" t="s">
        <v>117</v>
      </c>
      <c r="C15" s="13"/>
      <c r="D15" s="13"/>
      <c r="E15" s="13"/>
      <c r="F15" s="13"/>
    </row>
    <row r="16" customFormat="false" ht="21.75" hidden="false" customHeight="true" outlineLevel="0" collapsed="false">
      <c r="B16" s="8" t="s">
        <v>118</v>
      </c>
      <c r="C16" s="14"/>
      <c r="D16" s="14"/>
      <c r="E16" s="14"/>
      <c r="F16" s="8"/>
    </row>
    <row r="17" customFormat="false" ht="21.75" hidden="false" customHeight="true" outlineLevel="0" collapsed="false">
      <c r="B17" s="8" t="s">
        <v>118</v>
      </c>
      <c r="C17" s="14"/>
      <c r="D17" s="14"/>
      <c r="E17" s="14"/>
      <c r="F17" s="8"/>
    </row>
    <row r="18" customFormat="false" ht="21.75" hidden="false" customHeight="true" outlineLevel="0" collapsed="false">
      <c r="B18" s="8" t="s">
        <v>118</v>
      </c>
      <c r="C18" s="14"/>
      <c r="D18" s="14"/>
      <c r="E18" s="14"/>
      <c r="F18" s="8"/>
    </row>
    <row r="19" customFormat="false" ht="15" hidden="false" customHeight="false" outlineLevel="0" collapsed="false">
      <c r="B19" s="13" t="s">
        <v>117</v>
      </c>
      <c r="C19" s="13"/>
      <c r="D19" s="13"/>
      <c r="E19" s="13"/>
      <c r="F19" s="13"/>
    </row>
    <row r="20" customFormat="false" ht="21.75" hidden="false" customHeight="true" outlineLevel="0" collapsed="false">
      <c r="B20" s="8" t="s">
        <v>118</v>
      </c>
      <c r="C20" s="14"/>
      <c r="D20" s="14"/>
      <c r="E20" s="14"/>
      <c r="F20" s="8"/>
    </row>
    <row r="21" customFormat="false" ht="21.75" hidden="false" customHeight="true" outlineLevel="0" collapsed="false">
      <c r="B21" s="8" t="s">
        <v>118</v>
      </c>
      <c r="C21" s="14"/>
      <c r="D21" s="14"/>
      <c r="E21" s="14"/>
      <c r="F21" s="8"/>
    </row>
    <row r="22" customFormat="false" ht="21.75" hidden="false" customHeight="true" outlineLevel="0" collapsed="false">
      <c r="B22" s="8" t="s">
        <v>118</v>
      </c>
      <c r="C22" s="14"/>
      <c r="D22" s="14"/>
      <c r="E22" s="14"/>
      <c r="F22" s="8"/>
    </row>
    <row r="23" customFormat="false" ht="15" hidden="false" customHeight="false" outlineLevel="0" collapsed="false">
      <c r="B23" s="13" t="s">
        <v>117</v>
      </c>
      <c r="C23" s="13"/>
      <c r="D23" s="13"/>
      <c r="E23" s="13"/>
      <c r="F23" s="13"/>
    </row>
    <row r="24" customFormat="false" ht="21.75" hidden="false" customHeight="true" outlineLevel="0" collapsed="false">
      <c r="B24" s="8" t="s">
        <v>118</v>
      </c>
      <c r="C24" s="14"/>
      <c r="D24" s="14"/>
      <c r="E24" s="14"/>
      <c r="F24" s="8"/>
    </row>
    <row r="25" customFormat="false" ht="21.75" hidden="false" customHeight="true" outlineLevel="0" collapsed="false">
      <c r="B25" s="8" t="s">
        <v>118</v>
      </c>
      <c r="C25" s="14"/>
      <c r="D25" s="14"/>
      <c r="E25" s="14"/>
      <c r="F25" s="8"/>
    </row>
    <row r="26" customFormat="false" ht="21.75" hidden="false" customHeight="true" outlineLevel="0" collapsed="false">
      <c r="B26" s="8" t="s">
        <v>118</v>
      </c>
      <c r="C26" s="14"/>
      <c r="D26" s="14"/>
      <c r="E26" s="14"/>
      <c r="F26" s="8"/>
    </row>
    <row r="27" customFormat="false" ht="15" hidden="false" customHeight="false" outlineLevel="0" collapsed="false">
      <c r="B27" s="13" t="s">
        <v>117</v>
      </c>
      <c r="C27" s="13"/>
      <c r="D27" s="13"/>
      <c r="E27" s="13"/>
      <c r="F27" s="13"/>
    </row>
    <row r="28" customFormat="false" ht="21.75" hidden="false" customHeight="true" outlineLevel="0" collapsed="false">
      <c r="B28" s="8" t="s">
        <v>118</v>
      </c>
      <c r="C28" s="14"/>
      <c r="D28" s="14"/>
      <c r="E28" s="14"/>
      <c r="F28" s="8"/>
    </row>
    <row r="29" customFormat="false" ht="21.75" hidden="false" customHeight="true" outlineLevel="0" collapsed="false">
      <c r="B29" s="8" t="s">
        <v>118</v>
      </c>
      <c r="C29" s="14"/>
      <c r="D29" s="14"/>
      <c r="E29" s="14"/>
      <c r="F29" s="8"/>
    </row>
    <row r="30" customFormat="false" ht="21.75" hidden="false" customHeight="true" outlineLevel="0" collapsed="false">
      <c r="B30" s="8" t="s">
        <v>118</v>
      </c>
      <c r="C30" s="14"/>
      <c r="D30" s="14"/>
      <c r="E30" s="14"/>
      <c r="F30" s="8"/>
    </row>
    <row r="32" customFormat="false" ht="15" hidden="false" customHeight="false" outlineLevel="0" collapsed="false">
      <c r="A32" s="6" t="s">
        <v>14</v>
      </c>
      <c r="B32" s="6"/>
      <c r="C32" s="6"/>
      <c r="D32" s="6"/>
      <c r="E32" s="6"/>
      <c r="F32" s="6"/>
    </row>
  </sheetData>
  <mergeCells count="15">
    <mergeCell ref="A1:F1"/>
    <mergeCell ref="A2:F2"/>
    <mergeCell ref="A3:F3"/>
    <mergeCell ref="C5:F5"/>
    <mergeCell ref="C6:F6"/>
    <mergeCell ref="C7:F7"/>
    <mergeCell ref="C8:F8"/>
    <mergeCell ref="A10:F10"/>
    <mergeCell ref="E11:F11"/>
    <mergeCell ref="A13:F13"/>
    <mergeCell ref="B15:F15"/>
    <mergeCell ref="B19:F19"/>
    <mergeCell ref="B23:F23"/>
    <mergeCell ref="B27:F27"/>
    <mergeCell ref="A32:F32"/>
  </mergeCells>
  <conditionalFormatting sqref="D16:D30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0">
      <formula>"Complete"</formula>
    </cfRule>
    <cfRule type="cellIs" priority="4" operator="equal" aboveAverage="0" equalAverage="0" bottom="0" percent="0" rank="0" text="" dxfId="0">
      <formula>"Shipped"</formula>
    </cfRule>
    <cfRule type="cellIs" priority="5" operator="equal" aboveAverage="0" equalAverage="0" bottom="0" percent="0" rank="0" text="" dxfId="0">
      <formula>"GO"</formula>
    </cfRule>
    <cfRule type="cellIs" priority="6" operator="equal" aboveAverage="0" equalAverage="0" bottom="0" percent="0" rank="0" text="" dxfId="0">
      <formula>"On track"</formula>
    </cfRule>
    <cfRule type="cellIs" priority="7" operator="equal" aboveAverage="0" equalAverage="0" bottom="0" percent="0" rank="0" text="" dxfId="1">
      <formula>"In progress"</formula>
    </cfRule>
    <cfRule type="cellIs" priority="8" operator="equal" aboveAverage="0" equalAverage="0" bottom="0" percent="0" rank="0" text="" dxfId="1">
      <formula>"In review"</formula>
    </cfRule>
    <cfRule type="cellIs" priority="9" operator="equal" aboveAverage="0" equalAverage="0" bottom="0" percent="0" rank="0" text="" dxfId="1">
      <formula>"At risk"</formula>
    </cfRule>
    <cfRule type="cellIs" priority="10" operator="equal" aboveAverage="0" equalAverage="0" bottom="0" percent="0" rank="0" text="" dxfId="2">
      <formula>"Blocked"</formula>
    </cfRule>
    <cfRule type="cellIs" priority="11" operator="equal" aboveAverage="0" equalAverage="0" bottom="0" percent="0" rank="0" text="" dxfId="2">
      <formula>"No-Go"</formula>
    </cfRule>
    <cfRule type="cellIs" priority="12" operator="equal" aboveAverage="0" equalAverage="0" bottom="0" percent="0" rank="0" text="" dxfId="2">
      <formula>"Off track"</formula>
    </cfRule>
    <cfRule type="cellIs" priority="13" operator="equal" aboveAverage="0" equalAverage="0" bottom="0" percent="0" rank="0" text="" dxfId="3">
      <formula>"To do"</formula>
    </cfRule>
    <cfRule type="cellIs" priority="14" operator="equal" aboveAverage="0" equalAverage="0" bottom="0" percent="0" rank="0" text="" dxfId="3">
      <formula>"Not started"</formula>
    </cfRule>
    <cfRule type="cellIs" priority="15" operator="equal" aboveAverage="0" equalAverage="0" bottom="0" percent="0" rank="0" text="" dxfId="3">
      <formula>"Backlog"</formula>
    </cfRule>
    <cfRule type="cellIs" priority="16" operator="equal" aboveAverage="0" equalAverage="0" bottom="0" percent="0" rank="0" text="" dxfId="4">
      <formula>"N/A"</formula>
    </cfRule>
  </conditionalFormatting>
  <conditionalFormatting sqref="E11">
    <cfRule type="cellIs" priority="17" operator="equal" aboveAverage="0" equalAverage="0" bottom="0" percent="0" rank="0" text="" dxfId="0">
      <formula>"GO"</formula>
    </cfRule>
  </conditionalFormatting>
  <dataValidations count="1">
    <dataValidation allowBlank="true" errorStyle="stop" operator="between" showDropDown="false" showErrorMessage="false" showInputMessage="false" sqref="D16:D18 D20:D22 D24:D26 D28:D30" type="list">
      <formula1>"Not started,In progress,Blocked,Done,N/A"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4"/>
  </cols>
  <sheetData>
    <row r="1" customFormat="false" ht="30" hidden="false" customHeight="true" outlineLevel="0" collapsed="false">
      <c r="A1" s="1" t="s">
        <v>119</v>
      </c>
      <c r="B1" s="1"/>
    </row>
    <row r="2" customFormat="false" ht="18" hidden="false" customHeight="true" outlineLevel="0" collapsed="false">
      <c r="A2" s="2" t="s">
        <v>120</v>
      </c>
      <c r="B2" s="2"/>
    </row>
    <row r="3" customFormat="false" ht="13.5" hidden="false" customHeight="true" outlineLevel="0" collapsed="false">
      <c r="A3" s="3" t="s">
        <v>2</v>
      </c>
      <c r="B3" s="3"/>
    </row>
    <row r="5" customFormat="false" ht="15" hidden="false" customHeight="false" outlineLevel="0" collapsed="false">
      <c r="B5" s="15" t="s">
        <v>121</v>
      </c>
    </row>
    <row r="6" customFormat="false" ht="43.5" hidden="false" customHeight="true" outlineLevel="0" collapsed="false">
      <c r="B6" s="16" t="s">
        <v>122</v>
      </c>
    </row>
    <row r="8" customFormat="false" ht="19.5" hidden="false" customHeight="true" outlineLevel="0" collapsed="false">
      <c r="B8" s="17" t="s">
        <v>102</v>
      </c>
    </row>
    <row r="9" customFormat="false" ht="27.75" hidden="false" customHeight="true" outlineLevel="0" collapsed="false">
      <c r="B9" s="18" t="s">
        <v>123</v>
      </c>
    </row>
    <row r="11" customFormat="false" ht="19.5" hidden="false" customHeight="true" outlineLevel="0" collapsed="false">
      <c r="B11" s="17" t="s">
        <v>106</v>
      </c>
    </row>
    <row r="12" customFormat="false" ht="27.75" hidden="false" customHeight="true" outlineLevel="0" collapsed="false">
      <c r="B12" s="18" t="s">
        <v>123</v>
      </c>
    </row>
    <row r="14" customFormat="false" ht="19.5" hidden="false" customHeight="true" outlineLevel="0" collapsed="false">
      <c r="B14" s="17" t="s">
        <v>108</v>
      </c>
    </row>
    <row r="15" customFormat="false" ht="27.75" hidden="false" customHeight="true" outlineLevel="0" collapsed="false">
      <c r="B15" s="18" t="s">
        <v>123</v>
      </c>
    </row>
    <row r="17" customFormat="false" ht="19.5" hidden="false" customHeight="true" outlineLevel="0" collapsed="false">
      <c r="B17" s="17" t="s">
        <v>110</v>
      </c>
    </row>
    <row r="18" customFormat="false" ht="27.75" hidden="false" customHeight="true" outlineLevel="0" collapsed="false">
      <c r="B18" s="18" t="s">
        <v>123</v>
      </c>
    </row>
    <row r="20" customFormat="false" ht="19.5" hidden="false" customHeight="true" outlineLevel="0" collapsed="false">
      <c r="B20" s="17" t="s">
        <v>112</v>
      </c>
    </row>
    <row r="21" customFormat="false" ht="27.75" hidden="false" customHeight="true" outlineLevel="0" collapsed="false">
      <c r="B21" s="18" t="s">
        <v>123</v>
      </c>
    </row>
    <row r="23" customFormat="false" ht="15" hidden="false" customHeight="false" outlineLevel="0" collapsed="false">
      <c r="B23" s="19" t="s">
        <v>124</v>
      </c>
    </row>
    <row r="25" customFormat="false" ht="15" hidden="false" customHeight="false" outlineLevel="0" collapsed="false">
      <c r="A25" s="6" t="s">
        <v>14</v>
      </c>
      <c r="B25" s="6"/>
    </row>
  </sheetData>
  <mergeCells count="4">
    <mergeCell ref="A1:B1"/>
    <mergeCell ref="A2:B2"/>
    <mergeCell ref="A3:B3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2026-06-18T20:52:25Z</dcterms:created>
  <dc:creator>openpyxl</dc:creator>
  <dc:description/>
  <dc:language>en-US</dc:language>
  <cp:lastModifiedBy/>
  <dcterms:modified xsi:type="dcterms:W3CDTF">2026-06-18T20:52:25Z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