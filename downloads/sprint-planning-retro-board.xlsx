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print Plan — Example" sheetId="2" state="visible" r:id="rId4"/>
    <sheet name="Retro — Example" sheetId="3" state="visible" r:id="rId5"/>
    <sheet name="Sprint Plan — Blank" sheetId="4" state="visible" r:id="rId6"/>
    <sheet name="Retro — Blan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<sst xmlns="http://schemas.openxmlformats.org/spreadsheetml/2006/main" count="169" uniqueCount="108">
  <si>
    <t xml:space="preserve">SPRINT PLANNING &amp; RETRO BOARD</t>
  </si>
  <si>
    <t xml:space="preserve">Plan against real capacity, run the sprint, close the loop with a retro that ends in actions</t>
  </si>
  <si>
    <t xml:space="preserve">PM Toolkit by Neelesh Singh  ·  neeleshpmtoolkit.com</t>
  </si>
  <si>
    <t xml:space="preserve">What this is</t>
  </si>
  <si>
    <t xml:space="preserve">One workbook for the whole sprint: a planning board that checks your commitment against capacity, and a retrospective that turns talk into owned action items. Built so two weeks feel structured, not scrambled.</t>
  </si>
  <si>
    <t xml:space="preserve">How to use it</t>
  </si>
  <si>
    <t xml:space="preserve">1.  Open “Sprint Plan — Example”. It’s a real Meterly sprint: the squad shipping pre-dunning card-update prompts to a pilot cohort. Notice the load indicator flags when you over-commit.</t>
  </si>
  <si>
    <t xml:space="preserve">2.  Set your velocity and capacity (blue), then list the work. Points, status and completion roll up automatically; status cells colour themselves.</t>
  </si>
  <si>
    <t xml:space="preserve">3.  At sprint’s end, run “Retro — Example”. Keep it blameless. Every theme that matters should leave as an action item with an owner and a date — that’s the part most teams skip.</t>
  </si>
  <si>
    <t xml:space="preserve">4.  Copy the “— Blank” tabs each sprint (or duplicate the file). Dropdowns and formulas are already wired.</t>
  </si>
  <si>
    <t xml:space="preserve">Make it yours</t>
  </si>
  <si>
    <t xml:space="preserve">Swap the work-item types, status labels and point scale for whatever your team uses (t-shirt sizes, hours, Kanban states). The capacity maths and roll-ups don’t care what units you choose.</t>
  </si>
  <si>
    <t xml:space="preserve">Colour legend</t>
  </si>
  <si>
    <t xml:space="preserve">Blue = your input.   Black = calculated.   Status cells colour by value (green done, amber in-flight, red blocked).</t>
  </si>
  <si>
    <t xml:space="preserve">© PM Toolkit by Neelesh Singh  ·  neeleshpmtoolkit.com  —  Free for personal use. Adapt freely; please keep the credit line.</t>
  </si>
  <si>
    <t xml:space="preserve">SPRINT PLAN  ·  METERLY</t>
  </si>
  <si>
    <t xml:space="preserve">Sprint 24 — Smart Dunning pilot</t>
  </si>
  <si>
    <t xml:space="preserve">Sprint</t>
  </si>
  <si>
    <t xml:space="preserve">Sprint 24</t>
  </si>
  <si>
    <t xml:space="preserve">Dates</t>
  </si>
  <si>
    <t xml:space="preserve">Jun 16 – Jun 27</t>
  </si>
  <si>
    <t xml:space="preserve">Goal</t>
  </si>
  <si>
    <t xml:space="preserve">Ship pre-dunning card-update prompts to the 9-account pilot cohort and instrument failed-payment recovery rate.</t>
  </si>
  <si>
    <t xml:space="preserve">Team</t>
  </si>
  <si>
    <t xml:space="preserve">Aisha, Marco, Dvij, Lena (PM)</t>
  </si>
  <si>
    <t xml:space="preserve">CAPACITY</t>
  </si>
  <si>
    <t xml:space="preserve">Reference velocity (3-sprint avg, pts)</t>
  </si>
  <si>
    <t xml:space="preserve">Planned capacity this sprint (pts)</t>
  </si>
  <si>
    <t xml:space="preserve">Committed this sprint (pts)</t>
  </si>
  <si>
    <t xml:space="preserve">Load (committed ÷ capacity)</t>
  </si>
  <si>
    <t xml:space="preserve">SPRINT BACKLOG  (the commitment)</t>
  </si>
  <si>
    <t xml:space="preserve">ID</t>
  </si>
  <si>
    <t xml:space="preserve">Work item</t>
  </si>
  <si>
    <t xml:space="preserve">Type</t>
  </si>
  <si>
    <t xml:space="preserve">Pts</t>
  </si>
  <si>
    <t xml:space="preserve">Owner</t>
  </si>
  <si>
    <t xml:space="preserve">Status</t>
  </si>
  <si>
    <t xml:space="preserve">Notes / blockers</t>
  </si>
  <si>
    <t xml:space="preserve">SD-101</t>
  </si>
  <si>
    <t xml:space="preserve">Card-expiry detection job (flag tokens expiring ≤30 days)</t>
  </si>
  <si>
    <t xml:space="preserve">Story</t>
  </si>
  <si>
    <t xml:space="preserve">Dvij</t>
  </si>
  <si>
    <t xml:space="preserve">Done</t>
  </si>
  <si>
    <t xml:space="preserve">SD-102</t>
  </si>
  <si>
    <t xml:space="preserve">Pre-dunning email + in-app banner</t>
  </si>
  <si>
    <t xml:space="preserve">Aisha</t>
  </si>
  <si>
    <t xml:space="preserve">In review</t>
  </si>
  <si>
    <t xml:space="preserve">SD-103</t>
  </si>
  <si>
    <t xml:space="preserve">One-click hosted card-update flow</t>
  </si>
  <si>
    <t xml:space="preserve">Marco</t>
  </si>
  <si>
    <t xml:space="preserve">In progress</t>
  </si>
  <si>
    <t xml:space="preserve">Bigger than estimated</t>
  </si>
  <si>
    <t xml:space="preserve">SD-104</t>
  </si>
  <si>
    <t xml:space="preserve">Recovery-rate instrumentation + pilot dashboard</t>
  </si>
  <si>
    <t xml:space="preserve">Lena</t>
  </si>
  <si>
    <t xml:space="preserve">Was blocked on analytics access</t>
  </si>
  <si>
    <t xml:space="preserve">SD-105</t>
  </si>
  <si>
    <t xml:space="preserve">PSP card-updater API spike</t>
  </si>
  <si>
    <t xml:space="preserve">Spike</t>
  </si>
  <si>
    <t xml:space="preserve">De-risked the integration</t>
  </si>
  <si>
    <t xml:space="preserve">SD-106</t>
  </si>
  <si>
    <t xml:space="preserve">Idempotency on retry endpoint (dedupe charges)</t>
  </si>
  <si>
    <t xml:space="preserve">Tech debt</t>
  </si>
  <si>
    <t xml:space="preserve">To do</t>
  </si>
  <si>
    <t xml:space="preserve">SD-107</t>
  </si>
  <si>
    <t xml:space="preserve">Fix: webhook signature mismatch on charge.recovered</t>
  </si>
  <si>
    <t xml:space="preserve">Bug</t>
  </si>
  <si>
    <t xml:space="preserve">SD-108</t>
  </si>
  <si>
    <t xml:space="preserve">Pilot cohort config + feature flag</t>
  </si>
  <si>
    <t xml:space="preserve">Chore</t>
  </si>
  <si>
    <t xml:space="preserve">TOTAL / DONE / COMPLETION</t>
  </si>
  <si>
    <t xml:space="preserve">Committed pts roll up live; “Done” pts and completion update as you move status. Aim to land Load ≤ 100% — the example is 104%, a deliberate nudge to cut scope.</t>
  </si>
  <si>
    <t xml:space="preserve">SPRINT RETRO  ·  METERLY</t>
  </si>
  <si>
    <t xml:space="preserve">Sprint 24 — blameless review → owned actions</t>
  </si>
  <si>
    <t xml:space="preserve">Facilitator / date</t>
  </si>
  <si>
    <t xml:space="preserve">Lena · Jun 27</t>
  </si>
  <si>
    <t xml:space="preserve">Metrics recap</t>
  </si>
  <si>
    <t xml:space="preserve">Committed 29 pts · completed 10 · 2 stories carried over · pilot live for 9 accounts</t>
  </si>
  <si>
    <t xml:space="preserve">THE BOARD  (keep it blameless — about the system, not the people)</t>
  </si>
  <si>
    <t xml:space="preserve">What went well</t>
  </si>
  <si>
    <t xml:space="preserve">What slowed us down</t>
  </si>
  <si>
    <t xml:space="preserve">What we’ll try next</t>
  </si>
  <si>
    <t xml:space="preserve">Pilot feature flag let us ship safely behind a gate</t>
  </si>
  <si>
    <t xml:space="preserve">Hosted card-update flow was bigger than 8 pts</t>
  </si>
  <si>
    <t xml:space="preserve">Split UI stories to ≤ 5 pts before committing</t>
  </si>
  <si>
    <t xml:space="preserve">PSP card-updater spike de-risked the integration early</t>
  </si>
  <si>
    <t xml:space="preserve">Recovery dashboard blocked 2 days on analytics access</t>
  </si>
  <si>
    <t xml:space="preserve">Request data/analytics access during refinement, not mid-sprint</t>
  </si>
  <si>
    <t xml:space="preserve">Pairing fixed the webhook signature bug in a day</t>
  </si>
  <si>
    <t xml:space="preserve">Two stories carried over into next sprint</t>
  </si>
  <si>
    <t xml:space="preserve">Add “spike before estimate” to Definition of Ready</t>
  </si>
  <si>
    <t xml:space="preserve">Daily 10-min standup kept blockers visible</t>
  </si>
  <si>
    <t xml:space="preserve">Refinement ran long — vague acceptance criteria</t>
  </si>
  <si>
    <t xml:space="preserve">Write Gherkin AC during refinement, not after</t>
  </si>
  <si>
    <t xml:space="preserve">ACTION ITEMS  (every theme that matters leaves with an owner)</t>
  </si>
  <si>
    <t xml:space="preserve">Action</t>
  </si>
  <si>
    <t xml:space="preserve">Due</t>
  </si>
  <si>
    <t xml:space="preserve">Add a story-splitting check (≤ 5 pts) to the Definition of Ready</t>
  </si>
  <si>
    <t xml:space="preserve">Next refinement</t>
  </si>
  <si>
    <t xml:space="preserve">Request analytics access for new dashboards at sprint planning</t>
  </si>
  <si>
    <t xml:space="preserve">This sprint</t>
  </si>
  <si>
    <t xml:space="preserve">Re-estimate the remaining dunning UI stories before committing</t>
  </si>
  <si>
    <t xml:space="preserve">Mon</t>
  </si>
  <si>
    <t xml:space="preserve">Open actions</t>
  </si>
  <si>
    <t xml:space="preserve">SPRINT PLAN  ·  [TEAM]</t>
  </si>
  <si>
    <t xml:space="preserve">Plan the sprint against capacity</t>
  </si>
  <si>
    <t xml:space="preserve">SPRINT RETRO  ·  [TEAM]</t>
  </si>
  <si>
    <t xml:space="preserve">Reflect, then commit to actions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</si>
</sst>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8540A"/>
      <name val="Arial"/>
      <family val="0"/>
      <charset val="1"/>
    </font>
    <font>
      <b val="true"/>
      <sz val="13"/>
      <color rgb="FFE8540A"/>
      <name val="Arial"/>
      <family val="0"/>
      <charset val="1"/>
    </font>
    <font>
      <sz val="10.5"/>
      <color rgb="FF1A1A1A"/>
      <name val="Arial"/>
      <family val="0"/>
      <charset val="1"/>
    </font>
    <font>
      <i val="true"/>
      <sz val="8"/>
      <color rgb="FF6B6B6B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B23F06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B23F06"/>
      <name val="Arial"/>
      <family val="0"/>
      <charset val="1"/>
    </font>
    <font>
      <i val="true"/>
      <sz val="9.5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1A1A1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8540A"/>
        <bgColor rgb="FFB23F06"/>
      </patternFill>
    </fill>
    <fill>
      <patternFill patternType="solid">
        <fgColor rgb="FFB23F06"/>
        <bgColor rgb="FF8A5A00"/>
      </patternFill>
    </fill>
    <fill>
      <patternFill patternType="solid">
        <fgColor rgb="FFFFFFFF"/>
        <bgColor rgb="FFFFF7E6"/>
      </patternFill>
    </fill>
    <fill>
      <patternFill patternType="solid">
        <fgColor rgb="FFFFF7E6"/>
        <bgColor rgb="FFFCEDE6"/>
      </patternFill>
    </fill>
    <fill>
      <patternFill patternType="solid">
        <fgColor rgb="FFFCEDE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8E2018"/>
      </font>
      <fill>
        <patternFill>
          <bgColor rgb="FFF7CFCB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1B5E20"/>
        <sz val="9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8A5A00"/>
        <sz val="9"/>
      </font>
      <fill>
        <patternFill>
          <bgColor rgb="FFFFE7C2"/>
        </patternFill>
      </fill>
    </dxf>
    <dxf>
      <font>
        <name val="Arial"/>
        <charset val="1"/>
        <family val="0"/>
        <b val="1"/>
        <color rgb="FF8E2018"/>
        <sz val="9"/>
      </font>
      <fill>
        <patternFill>
          <bgColor rgb="FFF7CFCB"/>
        </patternFill>
      </fill>
    </dxf>
    <dxf>
      <font>
        <name val="Arial"/>
        <charset val="1"/>
        <family val="0"/>
        <b val="1"/>
        <color rgb="FF455A64"/>
        <sz val="9"/>
      </font>
      <fill>
        <patternFill>
          <bgColor rgb="FFECEFF1"/>
        </patternFill>
      </fill>
    </dxf>
    <dxf>
      <font>
        <name val="Arial"/>
        <charset val="1"/>
        <family val="0"/>
        <b val="1"/>
        <color rgb="FF9AA1AC"/>
        <sz val="9"/>
      </font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2018"/>
      <rgbColor rgb="FF1B5E20"/>
      <rgbColor rgb="FF000080"/>
      <rgbColor rgb="FF8A5A00"/>
      <rgbColor rgb="FF800080"/>
      <rgbColor rgb="FF008080"/>
      <rgbColor rgb="FFFCEDE6"/>
      <rgbColor rgb="FF808080"/>
      <rgbColor rgb="FF9999FF"/>
      <rgbColor rgb="FF993366"/>
      <rgbColor rgb="FFFFF7E6"/>
      <rgbColor rgb="FFECEF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8E6C9"/>
      <rgbColor rgb="FFFFE7C2"/>
      <rgbColor rgb="FF99CCFF"/>
      <rgbColor rgb="FFFF99CC"/>
      <rgbColor rgb="FFCC99FF"/>
      <rgbColor rgb="FFF7CFCB"/>
      <rgbColor rgb="FF3366FF"/>
      <rgbColor rgb="FF33CCCC"/>
      <rgbColor rgb="FF99CC00"/>
      <rgbColor rgb="FFFFCC00"/>
      <rgbColor rgb="FFFF9900"/>
      <rgbColor rgb="FFE8540A"/>
      <rgbColor rgb="FF6B6B6B"/>
      <rgbColor rgb="FF9AA1AC"/>
      <rgbColor rgb="FF003366"/>
      <rgbColor rgb="FF339966"/>
      <rgbColor rgb="FF003300"/>
      <rgbColor rgb="FF333300"/>
      <rgbColor rgb="FFB23F06"/>
      <rgbColor rgb="FF993366"/>
      <rgbColor rgb="FF455A64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6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13.5" hidden="false" customHeight="true" outlineLevel="0" collapsed="false">
      <c r="A3" s="3" t="s">
        <v>2</v>
      </c>
      <c r="B3" s="3"/>
    </row>
    <row r="5" customFormat="false" ht="21.75" hidden="false" customHeight="true" outlineLevel="0" collapsed="false">
      <c r="B5" s="4" t="s">
        <v>3</v>
      </c>
    </row>
    <row r="6" customFormat="false" ht="30" hidden="false" customHeight="true" outlineLevel="0" collapsed="false">
      <c r="B6" s="5" t="s">
        <v>4</v>
      </c>
    </row>
    <row r="7" customFormat="false" ht="6" hidden="false" customHeight="true" outlineLevel="0" collapsed="false">
      <c r="B7" s="5"/>
    </row>
    <row r="8" customFormat="false" ht="21.75" hidden="false" customHeight="true" outlineLevel="0" collapsed="false">
      <c r="B8" s="4" t="s">
        <v>5</v>
      </c>
    </row>
    <row r="9" customFormat="false" ht="30" hidden="false" customHeight="true" outlineLevel="0" collapsed="false">
      <c r="B9" s="5" t="s">
        <v>6</v>
      </c>
    </row>
    <row r="10" customFormat="false" ht="30" hidden="false" customHeight="true" outlineLevel="0" collapsed="false">
      <c r="B10" s="5" t="s">
        <v>7</v>
      </c>
    </row>
    <row r="11" customFormat="false" ht="30" hidden="false" customHeight="true" outlineLevel="0" collapsed="false">
      <c r="B11" s="5" t="s">
        <v>8</v>
      </c>
    </row>
    <row r="12" customFormat="false" ht="30" hidden="false" customHeight="true" outlineLevel="0" collapsed="false">
      <c r="B12" s="5" t="s">
        <v>9</v>
      </c>
    </row>
    <row r="13" customFormat="false" ht="6" hidden="false" customHeight="true" outlineLevel="0" collapsed="false">
      <c r="B13" s="5"/>
    </row>
    <row r="14" customFormat="false" ht="21.75" hidden="false" customHeight="true" outlineLevel="0" collapsed="false">
      <c r="B14" s="4" t="s">
        <v>10</v>
      </c>
    </row>
    <row r="15" customFormat="false" ht="30" hidden="false" customHeight="true" outlineLevel="0" collapsed="false">
      <c r="B15" s="5" t="s">
        <v>11</v>
      </c>
    </row>
    <row r="16" customFormat="false" ht="6" hidden="false" customHeight="true" outlineLevel="0" collapsed="false">
      <c r="B16" s="5"/>
    </row>
    <row r="17" customFormat="false" ht="21.75" hidden="false" customHeight="true" outlineLevel="0" collapsed="false">
      <c r="B17" s="4" t="s">
        <v>12</v>
      </c>
    </row>
    <row r="18" customFormat="false" ht="30" hidden="false" customHeight="true" outlineLevel="0" collapsed="false">
      <c r="B18" s="5" t="s">
        <v>13</v>
      </c>
    </row>
    <row r="20" customFormat="false" ht="15" hidden="false" customHeight="false" outlineLevel="0" collapsed="false">
      <c r="A20" s="6" t="s">
        <v>14</v>
      </c>
      <c r="B20" s="6"/>
    </row>
  </sheetData>
  <mergeCells count="4">
    <mergeCell ref="A1:B1"/>
    <mergeCell ref="A2:B2"/>
    <mergeCell ref="A3:B3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7" t="s">
        <v>17</v>
      </c>
      <c r="C5" s="8" t="s">
        <v>18</v>
      </c>
      <c r="D5" s="8"/>
      <c r="E5" s="7" t="s">
        <v>19</v>
      </c>
      <c r="F5" s="8" t="s">
        <v>20</v>
      </c>
      <c r="G5" s="8"/>
      <c r="H5" s="8"/>
    </row>
    <row r="6" customFormat="false" ht="30" hidden="false" customHeight="true" outlineLevel="0" collapsed="false">
      <c r="B6" s="7" t="s">
        <v>21</v>
      </c>
      <c r="C6" s="9" t="s">
        <v>22</v>
      </c>
      <c r="D6" s="9"/>
      <c r="E6" s="9"/>
      <c r="F6" s="9"/>
      <c r="G6" s="9"/>
      <c r="H6" s="9"/>
    </row>
    <row r="7" customFormat="false" ht="15" hidden="false" customHeight="true" outlineLevel="0" collapsed="false">
      <c r="B7" s="7" t="s">
        <v>23</v>
      </c>
      <c r="C7" s="8" t="s">
        <v>24</v>
      </c>
      <c r="D7" s="8"/>
      <c r="E7" s="8"/>
      <c r="F7" s="8"/>
      <c r="G7" s="8"/>
      <c r="H7" s="8"/>
    </row>
    <row r="9" customFormat="false" ht="21.75" hidden="false" customHeight="true" outlineLevel="0" collapsed="false">
      <c r="A9" s="10" t="s">
        <v>25</v>
      </c>
      <c r="B9" s="10"/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B10" s="11" t="s">
        <v>26</v>
      </c>
      <c r="C10" s="11"/>
      <c r="D10" s="11"/>
      <c r="E10" s="11"/>
      <c r="F10" s="12" t="n">
        <v>30</v>
      </c>
      <c r="G10" s="12"/>
    </row>
    <row r="11" customFormat="false" ht="15" hidden="false" customHeight="true" outlineLevel="0" collapsed="false">
      <c r="B11" s="11" t="s">
        <v>27</v>
      </c>
      <c r="C11" s="11"/>
      <c r="D11" s="11"/>
      <c r="E11" s="11"/>
      <c r="F11" s="13" t="n">
        <v>28</v>
      </c>
      <c r="G11" s="13"/>
    </row>
    <row r="12" customFormat="false" ht="15" hidden="false" customHeight="true" outlineLevel="0" collapsed="false">
      <c r="B12" s="11" t="s">
        <v>28</v>
      </c>
      <c r="C12" s="11"/>
      <c r="D12" s="11"/>
      <c r="E12" s="11"/>
      <c r="F12" s="14" t="n">
        <f aca="false">E26</f>
        <v>29</v>
      </c>
      <c r="G12" s="14"/>
    </row>
    <row r="13" customFormat="false" ht="15" hidden="false" customHeight="true" outlineLevel="0" collapsed="false">
      <c r="B13" s="11" t="s">
        <v>29</v>
      </c>
      <c r="C13" s="11"/>
      <c r="D13" s="11"/>
      <c r="E13" s="11"/>
      <c r="F13" s="15" t="n">
        <f aca="false">IFERROR(E26/F11,0)</f>
        <v>1.03571428571429</v>
      </c>
      <c r="G13" s="15"/>
    </row>
    <row r="16" customFormat="false" ht="21.75" hidden="false" customHeight="true" outlineLevel="0" collapsed="false">
      <c r="A16" s="10" t="s">
        <v>30</v>
      </c>
      <c r="B16" s="10"/>
      <c r="C16" s="10"/>
      <c r="D16" s="10"/>
      <c r="E16" s="10"/>
      <c r="F16" s="10"/>
      <c r="G16" s="10"/>
      <c r="H16" s="10"/>
    </row>
    <row r="17" customFormat="false" ht="30" hidden="false" customHeight="true" outlineLevel="0" collapsed="false">
      <c r="B17" s="16" t="s">
        <v>31</v>
      </c>
      <c r="C17" s="16" t="s">
        <v>32</v>
      </c>
      <c r="D17" s="16" t="s">
        <v>33</v>
      </c>
      <c r="E17" s="16" t="s">
        <v>34</v>
      </c>
      <c r="F17" s="16" t="s">
        <v>35</v>
      </c>
      <c r="G17" s="16" t="s">
        <v>36</v>
      </c>
      <c r="H17" s="16" t="s">
        <v>37</v>
      </c>
    </row>
    <row r="18" customFormat="false" ht="25.5" hidden="false" customHeight="true" outlineLevel="0" collapsed="false">
      <c r="B18" s="17" t="s">
        <v>38</v>
      </c>
      <c r="C18" s="18" t="s">
        <v>39</v>
      </c>
      <c r="D18" s="17" t="s">
        <v>40</v>
      </c>
      <c r="E18" s="17" t="n">
        <v>5</v>
      </c>
      <c r="F18" s="17" t="s">
        <v>41</v>
      </c>
      <c r="G18" s="17" t="s">
        <v>42</v>
      </c>
      <c r="H18" s="18"/>
    </row>
    <row r="19" customFormat="false" ht="25.5" hidden="false" customHeight="true" outlineLevel="0" collapsed="false">
      <c r="B19" s="17" t="s">
        <v>43</v>
      </c>
      <c r="C19" s="18" t="s">
        <v>44</v>
      </c>
      <c r="D19" s="17" t="s">
        <v>40</v>
      </c>
      <c r="E19" s="17" t="n">
        <v>5</v>
      </c>
      <c r="F19" s="17" t="s">
        <v>45</v>
      </c>
      <c r="G19" s="17" t="s">
        <v>46</v>
      </c>
      <c r="H19" s="18"/>
    </row>
    <row r="20" customFormat="false" ht="25.5" hidden="false" customHeight="true" outlineLevel="0" collapsed="false">
      <c r="B20" s="17" t="s">
        <v>47</v>
      </c>
      <c r="C20" s="18" t="s">
        <v>48</v>
      </c>
      <c r="D20" s="17" t="s">
        <v>40</v>
      </c>
      <c r="E20" s="17" t="n">
        <v>8</v>
      </c>
      <c r="F20" s="17" t="s">
        <v>49</v>
      </c>
      <c r="G20" s="17" t="s">
        <v>50</v>
      </c>
      <c r="H20" s="18" t="s">
        <v>51</v>
      </c>
    </row>
    <row r="21" customFormat="false" ht="25.5" hidden="false" customHeight="true" outlineLevel="0" collapsed="false">
      <c r="B21" s="17" t="s">
        <v>52</v>
      </c>
      <c r="C21" s="18" t="s">
        <v>53</v>
      </c>
      <c r="D21" s="17" t="s">
        <v>40</v>
      </c>
      <c r="E21" s="17" t="n">
        <v>3</v>
      </c>
      <c r="F21" s="17" t="s">
        <v>54</v>
      </c>
      <c r="G21" s="17" t="s">
        <v>50</v>
      </c>
      <c r="H21" s="18" t="s">
        <v>55</v>
      </c>
    </row>
    <row r="22" customFormat="false" ht="25.5" hidden="false" customHeight="true" outlineLevel="0" collapsed="false">
      <c r="B22" s="17" t="s">
        <v>56</v>
      </c>
      <c r="C22" s="18" t="s">
        <v>57</v>
      </c>
      <c r="D22" s="17" t="s">
        <v>58</v>
      </c>
      <c r="E22" s="17" t="n">
        <v>2</v>
      </c>
      <c r="F22" s="17" t="s">
        <v>41</v>
      </c>
      <c r="G22" s="17" t="s">
        <v>42</v>
      </c>
      <c r="H22" s="18" t="s">
        <v>59</v>
      </c>
    </row>
    <row r="23" customFormat="false" ht="25.5" hidden="false" customHeight="true" outlineLevel="0" collapsed="false">
      <c r="B23" s="17" t="s">
        <v>60</v>
      </c>
      <c r="C23" s="18" t="s">
        <v>61</v>
      </c>
      <c r="D23" s="17" t="s">
        <v>62</v>
      </c>
      <c r="E23" s="17" t="n">
        <v>3</v>
      </c>
      <c r="F23" s="17" t="s">
        <v>49</v>
      </c>
      <c r="G23" s="17" t="s">
        <v>63</v>
      </c>
      <c r="H23" s="18"/>
    </row>
    <row r="24" customFormat="false" ht="25.5" hidden="false" customHeight="true" outlineLevel="0" collapsed="false">
      <c r="B24" s="17" t="s">
        <v>64</v>
      </c>
      <c r="C24" s="18" t="s">
        <v>65</v>
      </c>
      <c r="D24" s="17" t="s">
        <v>66</v>
      </c>
      <c r="E24" s="17" t="n">
        <v>2</v>
      </c>
      <c r="F24" s="17" t="s">
        <v>45</v>
      </c>
      <c r="G24" s="17" t="s">
        <v>42</v>
      </c>
      <c r="H24" s="18"/>
    </row>
    <row r="25" customFormat="false" ht="25.5" hidden="false" customHeight="true" outlineLevel="0" collapsed="false">
      <c r="B25" s="17" t="s">
        <v>67</v>
      </c>
      <c r="C25" s="18" t="s">
        <v>68</v>
      </c>
      <c r="D25" s="17" t="s">
        <v>69</v>
      </c>
      <c r="E25" s="17" t="n">
        <v>1</v>
      </c>
      <c r="F25" s="17" t="s">
        <v>54</v>
      </c>
      <c r="G25" s="17" t="s">
        <v>42</v>
      </c>
      <c r="H25" s="18"/>
    </row>
    <row r="26" customFormat="false" ht="15" hidden="false" customHeight="true" outlineLevel="0" collapsed="false">
      <c r="B26" s="19" t="s">
        <v>70</v>
      </c>
      <c r="C26" s="19"/>
      <c r="D26" s="20"/>
      <c r="E26" s="21" t="n">
        <f aca="false">SUMPRODUCT(IFERROR(E18:E25*1,0))</f>
        <v>29</v>
      </c>
      <c r="F26" s="21" t="n">
        <f aca="false">SUMPRODUCT((G18:G25="Done")*IFERROR(E18:E25*1,0))</f>
        <v>10</v>
      </c>
      <c r="G26" s="22" t="n">
        <f aca="false">IFERROR(F26/E26,0)</f>
        <v>0.344827586206897</v>
      </c>
      <c r="H26" s="20"/>
    </row>
    <row r="28" customFormat="false" ht="27.75" hidden="false" customHeight="true" outlineLevel="0" collapsed="false">
      <c r="B28" s="23" t="s">
        <v>71</v>
      </c>
      <c r="C28" s="23"/>
      <c r="D28" s="23"/>
      <c r="E28" s="23"/>
      <c r="F28" s="23"/>
      <c r="G28" s="23"/>
      <c r="H28" s="23"/>
    </row>
    <row r="30" customFormat="false" ht="15" hidden="false" customHeight="false" outlineLevel="0" collapsed="false">
      <c r="A30" s="6" t="s">
        <v>14</v>
      </c>
      <c r="B30" s="6"/>
      <c r="C30" s="6"/>
      <c r="D30" s="6"/>
      <c r="E30" s="6"/>
      <c r="F30" s="6"/>
      <c r="G30" s="6"/>
      <c r="H30" s="6"/>
    </row>
  </sheetData>
  <mergeCells count="20">
    <mergeCell ref="A1:H1"/>
    <mergeCell ref="A2:H2"/>
    <mergeCell ref="A3:H3"/>
    <mergeCell ref="C5:D5"/>
    <mergeCell ref="F5:H5"/>
    <mergeCell ref="C6:H6"/>
    <mergeCell ref="C7:H7"/>
    <mergeCell ref="A9:H9"/>
    <mergeCell ref="B10:E10"/>
    <mergeCell ref="F10:G10"/>
    <mergeCell ref="B11:E11"/>
    <mergeCell ref="F11:G11"/>
    <mergeCell ref="B12:E12"/>
    <mergeCell ref="F12:G12"/>
    <mergeCell ref="B13:E13"/>
    <mergeCell ref="F13:G13"/>
    <mergeCell ref="A16:H16"/>
    <mergeCell ref="B26:C26"/>
    <mergeCell ref="B28:H28"/>
    <mergeCell ref="A30:H30"/>
  </mergeCells>
  <conditionalFormatting sqref="F13">
    <cfRule type="cellIs" priority="2" operator="greaterThan" aboveAverage="0" equalAverage="0" bottom="0" percent="0" rank="0" text="" dxfId="0">
      <formula>1</formula>
    </cfRule>
    <cfRule type="cellIs" priority="3" operator="lessThanOrEqual" aboveAverage="0" equalAverage="0" bottom="0" percent="0" rank="0" text="" dxfId="1">
      <formula>1</formula>
    </cfRule>
  </conditionalFormatting>
  <conditionalFormatting sqref="G18:G25">
    <cfRule type="cellIs" priority="4" operator="equal" aboveAverage="0" equalAverage="0" bottom="0" percent="0" rank="0" text="" dxfId="2">
      <formula>"Done"</formula>
    </cfRule>
    <cfRule type="cellIs" priority="5" operator="equal" aboveAverage="0" equalAverage="0" bottom="0" percent="0" rank="0" text="" dxfId="2">
      <formula>"Complete"</formula>
    </cfRule>
    <cfRule type="cellIs" priority="6" operator="equal" aboveAverage="0" equalAverage="0" bottom="0" percent="0" rank="0" text="" dxfId="2">
      <formula>"Shipped"</formula>
    </cfRule>
    <cfRule type="cellIs" priority="7" operator="equal" aboveAverage="0" equalAverage="0" bottom="0" percent="0" rank="0" text="" dxfId="2">
      <formula>"GO"</formula>
    </cfRule>
    <cfRule type="cellIs" priority="8" operator="equal" aboveAverage="0" equalAverage="0" bottom="0" percent="0" rank="0" text="" dxfId="2">
      <formula>"On track"</formula>
    </cfRule>
    <cfRule type="cellIs" priority="9" operator="equal" aboveAverage="0" equalAverage="0" bottom="0" percent="0" rank="0" text="" dxfId="3">
      <formula>"In progress"</formula>
    </cfRule>
    <cfRule type="cellIs" priority="10" operator="equal" aboveAverage="0" equalAverage="0" bottom="0" percent="0" rank="0" text="" dxfId="3">
      <formula>"In review"</formula>
    </cfRule>
    <cfRule type="cellIs" priority="11" operator="equal" aboveAverage="0" equalAverage="0" bottom="0" percent="0" rank="0" text="" dxfId="3">
      <formula>"At risk"</formula>
    </cfRule>
    <cfRule type="cellIs" priority="12" operator="equal" aboveAverage="0" equalAverage="0" bottom="0" percent="0" rank="0" text="" dxfId="4">
      <formula>"Blocked"</formula>
    </cfRule>
    <cfRule type="cellIs" priority="13" operator="equal" aboveAverage="0" equalAverage="0" bottom="0" percent="0" rank="0" text="" dxfId="4">
      <formula>"No-Go"</formula>
    </cfRule>
    <cfRule type="cellIs" priority="14" operator="equal" aboveAverage="0" equalAverage="0" bottom="0" percent="0" rank="0" text="" dxfId="4">
      <formula>"Off track"</formula>
    </cfRule>
    <cfRule type="cellIs" priority="15" operator="equal" aboveAverage="0" equalAverage="0" bottom="0" percent="0" rank="0" text="" dxfId="5">
      <formula>"To do"</formula>
    </cfRule>
    <cfRule type="cellIs" priority="16" operator="equal" aboveAverage="0" equalAverage="0" bottom="0" percent="0" rank="0" text="" dxfId="5">
      <formula>"Not started"</formula>
    </cfRule>
    <cfRule type="cellIs" priority="17" operator="equal" aboveAverage="0" equalAverage="0" bottom="0" percent="0" rank="0" text="" dxfId="5">
      <formula>"Backlog"</formula>
    </cfRule>
    <cfRule type="cellIs" priority="18" operator="equal" aboveAverage="0" equalAverage="0" bottom="0" percent="0" rank="0" text="" dxfId="6">
      <formula>"N/A"</formula>
    </cfRule>
  </conditionalFormatting>
  <dataValidations count="3">
    <dataValidation allowBlank="true" errorStyle="stop" operator="between" showDropDown="false" showErrorMessage="false" showInputMessage="false" sqref="D18:D25" type="list">
      <formula1>"Story,Bug,Spike,Chore,Tech debt"</formula1>
      <formula2>0</formula2>
    </dataValidation>
    <dataValidation allowBlank="true" errorStyle="stop" operator="between" showDropDown="false" showErrorMessage="false" showInputMessage="false" sqref="E18:E25" type="list">
      <formula1>"1,2,3,5,8,13"</formula1>
      <formula2>0</formula2>
    </dataValidation>
    <dataValidation allowBlank="true" errorStyle="stop" operator="between" showDropDown="false" showErrorMessage="false" showInputMessage="false" sqref="G18:G25" type="list">
      <formula1>"To do,In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33"/>
    <col collapsed="false" customWidth="true" hidden="false" outlineLevel="0" max="7" min="5" style="0" width="14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73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true" outlineLevel="0" collapsed="false">
      <c r="B5" s="7" t="s">
        <v>17</v>
      </c>
      <c r="C5" s="18" t="s">
        <v>18</v>
      </c>
      <c r="D5" s="7" t="s">
        <v>74</v>
      </c>
      <c r="E5" s="8" t="s">
        <v>75</v>
      </c>
      <c r="F5" s="8"/>
      <c r="G5" s="8"/>
    </row>
    <row r="6" customFormat="false" ht="15" hidden="false" customHeight="true" outlineLevel="0" collapsed="false">
      <c r="B6" s="7" t="s">
        <v>76</v>
      </c>
      <c r="C6" s="8" t="s">
        <v>77</v>
      </c>
      <c r="D6" s="8"/>
      <c r="E6" s="8"/>
      <c r="F6" s="8"/>
      <c r="G6" s="8"/>
    </row>
    <row r="8" customFormat="false" ht="21.75" hidden="false" customHeight="true" outlineLevel="0" collapsed="false">
      <c r="A8" s="10" t="s">
        <v>78</v>
      </c>
      <c r="B8" s="10"/>
      <c r="C8" s="10"/>
      <c r="D8" s="10"/>
      <c r="E8" s="10"/>
      <c r="F8" s="10"/>
      <c r="G8" s="10"/>
    </row>
    <row r="9" customFormat="false" ht="24" hidden="false" customHeight="true" outlineLevel="0" collapsed="false">
      <c r="B9" s="24" t="s">
        <v>79</v>
      </c>
      <c r="C9" s="24" t="s">
        <v>80</v>
      </c>
      <c r="D9" s="24" t="s">
        <v>81</v>
      </c>
    </row>
    <row r="10" customFormat="false" ht="25.5" hidden="false" customHeight="true" outlineLevel="0" collapsed="false">
      <c r="B10" s="25" t="s">
        <v>82</v>
      </c>
      <c r="C10" s="25" t="s">
        <v>83</v>
      </c>
      <c r="D10" s="25" t="s">
        <v>84</v>
      </c>
    </row>
    <row r="11" customFormat="false" ht="25.5" hidden="false" customHeight="true" outlineLevel="0" collapsed="false">
      <c r="B11" s="25" t="s">
        <v>85</v>
      </c>
      <c r="C11" s="25" t="s">
        <v>86</v>
      </c>
      <c r="D11" s="25" t="s">
        <v>87</v>
      </c>
    </row>
    <row r="12" customFormat="false" ht="25.5" hidden="false" customHeight="true" outlineLevel="0" collapsed="false">
      <c r="B12" s="25" t="s">
        <v>88</v>
      </c>
      <c r="C12" s="25" t="s">
        <v>89</v>
      </c>
      <c r="D12" s="25" t="s">
        <v>90</v>
      </c>
    </row>
    <row r="13" customFormat="false" ht="25.5" hidden="false" customHeight="true" outlineLevel="0" collapsed="false">
      <c r="B13" s="25" t="s">
        <v>91</v>
      </c>
      <c r="C13" s="25" t="s">
        <v>92</v>
      </c>
      <c r="D13" s="25" t="s">
        <v>93</v>
      </c>
    </row>
    <row r="15" customFormat="false" ht="21.75" hidden="false" customHeight="true" outlineLevel="0" collapsed="false">
      <c r="A15" s="10" t="s">
        <v>94</v>
      </c>
      <c r="B15" s="10"/>
      <c r="C15" s="10"/>
      <c r="D15" s="10"/>
      <c r="E15" s="10"/>
      <c r="F15" s="10"/>
      <c r="G15" s="10"/>
    </row>
    <row r="16" customFormat="false" ht="30" hidden="false" customHeight="true" outlineLevel="0" collapsed="false">
      <c r="B16" s="16" t="s">
        <v>95</v>
      </c>
      <c r="C16" s="16"/>
      <c r="D16" s="16" t="s">
        <v>35</v>
      </c>
      <c r="E16" s="16" t="s">
        <v>96</v>
      </c>
      <c r="F16" s="16" t="s">
        <v>36</v>
      </c>
    </row>
    <row r="17" customFormat="false" ht="25.5" hidden="false" customHeight="true" outlineLevel="0" collapsed="false">
      <c r="B17" s="18" t="s">
        <v>97</v>
      </c>
      <c r="C17" s="18"/>
      <c r="D17" s="17" t="s">
        <v>54</v>
      </c>
      <c r="E17" s="17" t="s">
        <v>98</v>
      </c>
      <c r="F17" s="17" t="s">
        <v>63</v>
      </c>
    </row>
    <row r="18" customFormat="false" ht="25.5" hidden="false" customHeight="true" outlineLevel="0" collapsed="false">
      <c r="B18" s="18" t="s">
        <v>99</v>
      </c>
      <c r="C18" s="18"/>
      <c r="D18" s="17" t="s">
        <v>49</v>
      </c>
      <c r="E18" s="17" t="s">
        <v>100</v>
      </c>
      <c r="F18" s="17" t="s">
        <v>42</v>
      </c>
    </row>
    <row r="19" customFormat="false" ht="25.5" hidden="false" customHeight="true" outlineLevel="0" collapsed="false">
      <c r="B19" s="18" t="s">
        <v>101</v>
      </c>
      <c r="C19" s="18"/>
      <c r="D19" s="17" t="s">
        <v>45</v>
      </c>
      <c r="E19" s="17" t="s">
        <v>102</v>
      </c>
      <c r="F19" s="17" t="s">
        <v>50</v>
      </c>
    </row>
    <row r="20" customFormat="false" ht="15" hidden="false" customHeight="false" outlineLevel="0" collapsed="false">
      <c r="B20" s="26" t="s">
        <v>103</v>
      </c>
      <c r="C20" s="26"/>
      <c r="D20" s="14" t="n">
        <f aca="false">COUNTIF(F17:F19,"&lt;&gt;Done")-COUNTBLANK(F17:F19)</f>
        <v>2</v>
      </c>
    </row>
    <row r="22" customFormat="false" ht="15" hidden="false" customHeight="false" outlineLevel="0" collapsed="false">
      <c r="A22" s="6" t="s">
        <v>14</v>
      </c>
      <c r="B22" s="6"/>
      <c r="C22" s="6"/>
      <c r="D22" s="6"/>
      <c r="E22" s="6"/>
      <c r="F22" s="6"/>
      <c r="G22" s="6"/>
    </row>
  </sheetData>
  <mergeCells count="13">
    <mergeCell ref="A1:G1"/>
    <mergeCell ref="A2:G2"/>
    <mergeCell ref="A3:G3"/>
    <mergeCell ref="E5:G5"/>
    <mergeCell ref="C6:G6"/>
    <mergeCell ref="A8:G8"/>
    <mergeCell ref="A15:G15"/>
    <mergeCell ref="B16:C16"/>
    <mergeCell ref="B17:C17"/>
    <mergeCell ref="B18:C18"/>
    <mergeCell ref="B19:C19"/>
    <mergeCell ref="B20:C20"/>
    <mergeCell ref="A22:G22"/>
  </mergeCells>
  <conditionalFormatting sqref="F17:F19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2">
      <formula>"Complete"</formula>
    </cfRule>
    <cfRule type="cellIs" priority="4" operator="equal" aboveAverage="0" equalAverage="0" bottom="0" percent="0" rank="0" text="" dxfId="2">
      <formula>"Shipped"</formula>
    </cfRule>
    <cfRule type="cellIs" priority="5" operator="equal" aboveAverage="0" equalAverage="0" bottom="0" percent="0" rank="0" text="" dxfId="2">
      <formula>"GO"</formula>
    </cfRule>
    <cfRule type="cellIs" priority="6" operator="equal" aboveAverage="0" equalAverage="0" bottom="0" percent="0" rank="0" text="" dxfId="2">
      <formula>"On track"</formula>
    </cfRule>
    <cfRule type="cellIs" priority="7" operator="equal" aboveAverage="0" equalAverage="0" bottom="0" percent="0" rank="0" text="" dxfId="3">
      <formula>"In progress"</formula>
    </cfRule>
    <cfRule type="cellIs" priority="8" operator="equal" aboveAverage="0" equalAverage="0" bottom="0" percent="0" rank="0" text="" dxfId="3">
      <formula>"In review"</formula>
    </cfRule>
    <cfRule type="cellIs" priority="9" operator="equal" aboveAverage="0" equalAverage="0" bottom="0" percent="0" rank="0" text="" dxfId="3">
      <formula>"At risk"</formula>
    </cfRule>
    <cfRule type="cellIs" priority="10" operator="equal" aboveAverage="0" equalAverage="0" bottom="0" percent="0" rank="0" text="" dxfId="4">
      <formula>"Blocked"</formula>
    </cfRule>
    <cfRule type="cellIs" priority="11" operator="equal" aboveAverage="0" equalAverage="0" bottom="0" percent="0" rank="0" text="" dxfId="4">
      <formula>"No-Go"</formula>
    </cfRule>
    <cfRule type="cellIs" priority="12" operator="equal" aboveAverage="0" equalAverage="0" bottom="0" percent="0" rank="0" text="" dxfId="4">
      <formula>"Off track"</formula>
    </cfRule>
    <cfRule type="cellIs" priority="13" operator="equal" aboveAverage="0" equalAverage="0" bottom="0" percent="0" rank="0" text="" dxfId="5">
      <formula>"To do"</formula>
    </cfRule>
    <cfRule type="cellIs" priority="14" operator="equal" aboveAverage="0" equalAverage="0" bottom="0" percent="0" rank="0" text="" dxfId="5">
      <formula>"Not started"</formula>
    </cfRule>
    <cfRule type="cellIs" priority="15" operator="equal" aboveAverage="0" equalAverage="0" bottom="0" percent="0" rank="0" text="" dxfId="5">
      <formula>"Backlog"</formula>
    </cfRule>
    <cfRule type="cellIs" priority="16" operator="equal" aboveAverage="0" equalAverage="0" bottom="0" percent="0" rank="0" text="" dxfId="6">
      <formula>"N/A"</formula>
    </cfRule>
  </conditionalFormatting>
  <dataValidations count="1">
    <dataValidation allowBlank="true" errorStyle="stop" operator="between" showDropDown="false" showErrorMessage="false" showInputMessage="false" sqref="F17:F19" type="list">
      <formula1>"To do,In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B5" s="7" t="s">
        <v>17</v>
      </c>
      <c r="C5" s="8"/>
      <c r="D5" s="8"/>
      <c r="E5" s="7" t="s">
        <v>19</v>
      </c>
      <c r="F5" s="8"/>
      <c r="G5" s="8"/>
      <c r="H5" s="8"/>
    </row>
    <row r="6" customFormat="false" ht="30" hidden="false" customHeight="true" outlineLevel="0" collapsed="false">
      <c r="B6" s="7" t="s">
        <v>21</v>
      </c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B7" s="7" t="s">
        <v>23</v>
      </c>
      <c r="C7" s="8"/>
      <c r="D7" s="8"/>
      <c r="E7" s="8"/>
      <c r="F7" s="8"/>
      <c r="G7" s="8"/>
      <c r="H7" s="8"/>
    </row>
    <row r="9" customFormat="false" ht="21.75" hidden="false" customHeight="true" outlineLevel="0" collapsed="false">
      <c r="A9" s="10" t="s">
        <v>25</v>
      </c>
      <c r="B9" s="10"/>
      <c r="C9" s="10"/>
      <c r="D9" s="10"/>
      <c r="E9" s="10"/>
      <c r="F9" s="10"/>
      <c r="G9" s="10"/>
      <c r="H9" s="10"/>
    </row>
    <row r="10" customFormat="false" ht="15" hidden="false" customHeight="true" outlineLevel="0" collapsed="false">
      <c r="B10" s="11" t="s">
        <v>26</v>
      </c>
      <c r="C10" s="11"/>
      <c r="D10" s="11"/>
      <c r="E10" s="11"/>
      <c r="F10" s="12"/>
      <c r="G10" s="12"/>
    </row>
    <row r="11" customFormat="false" ht="15" hidden="false" customHeight="true" outlineLevel="0" collapsed="false">
      <c r="B11" s="11" t="s">
        <v>27</v>
      </c>
      <c r="C11" s="11"/>
      <c r="D11" s="11"/>
      <c r="E11" s="11"/>
      <c r="F11" s="13"/>
      <c r="G11" s="13"/>
    </row>
    <row r="12" customFormat="false" ht="15" hidden="false" customHeight="true" outlineLevel="0" collapsed="false">
      <c r="B12" s="11" t="s">
        <v>28</v>
      </c>
      <c r="C12" s="11"/>
      <c r="D12" s="11"/>
      <c r="E12" s="11"/>
      <c r="F12" s="14" t="n">
        <f aca="false">E28</f>
        <v>0</v>
      </c>
      <c r="G12" s="14"/>
    </row>
    <row r="13" customFormat="false" ht="15" hidden="false" customHeight="true" outlineLevel="0" collapsed="false">
      <c r="B13" s="11" t="s">
        <v>29</v>
      </c>
      <c r="C13" s="11"/>
      <c r="D13" s="11"/>
      <c r="E13" s="11"/>
      <c r="F13" s="15" t="n">
        <f aca="false">IFERROR(E28/F11,0)</f>
        <v>0</v>
      </c>
      <c r="G13" s="15"/>
    </row>
    <row r="16" customFormat="false" ht="21.75" hidden="false" customHeight="true" outlineLevel="0" collapsed="false">
      <c r="A16" s="10" t="s">
        <v>30</v>
      </c>
      <c r="B16" s="10"/>
      <c r="C16" s="10"/>
      <c r="D16" s="10"/>
      <c r="E16" s="10"/>
      <c r="F16" s="10"/>
      <c r="G16" s="10"/>
      <c r="H16" s="10"/>
    </row>
    <row r="17" customFormat="false" ht="30" hidden="false" customHeight="true" outlineLevel="0" collapsed="false">
      <c r="B17" s="16" t="s">
        <v>31</v>
      </c>
      <c r="C17" s="16" t="s">
        <v>32</v>
      </c>
      <c r="D17" s="16" t="s">
        <v>33</v>
      </c>
      <c r="E17" s="16" t="s">
        <v>34</v>
      </c>
      <c r="F17" s="16" t="s">
        <v>35</v>
      </c>
      <c r="G17" s="16" t="s">
        <v>36</v>
      </c>
      <c r="H17" s="16" t="s">
        <v>37</v>
      </c>
    </row>
    <row r="18" customFormat="false" ht="25.5" hidden="false" customHeight="true" outlineLevel="0" collapsed="false">
      <c r="B18" s="17"/>
      <c r="C18" s="18"/>
      <c r="D18" s="17"/>
      <c r="E18" s="17"/>
      <c r="F18" s="17"/>
      <c r="G18" s="17"/>
      <c r="H18" s="18"/>
    </row>
    <row r="19" customFormat="false" ht="25.5" hidden="false" customHeight="true" outlineLevel="0" collapsed="false">
      <c r="B19" s="17"/>
      <c r="C19" s="18"/>
      <c r="D19" s="17"/>
      <c r="E19" s="17"/>
      <c r="F19" s="17"/>
      <c r="G19" s="17"/>
      <c r="H19" s="18"/>
    </row>
    <row r="20" customFormat="false" ht="25.5" hidden="false" customHeight="true" outlineLevel="0" collapsed="false">
      <c r="B20" s="17"/>
      <c r="C20" s="18"/>
      <c r="D20" s="17"/>
      <c r="E20" s="17"/>
      <c r="F20" s="17"/>
      <c r="G20" s="17"/>
      <c r="H20" s="18"/>
    </row>
    <row r="21" customFormat="false" ht="25.5" hidden="false" customHeight="true" outlineLevel="0" collapsed="false">
      <c r="B21" s="17"/>
      <c r="C21" s="18"/>
      <c r="D21" s="17"/>
      <c r="E21" s="17"/>
      <c r="F21" s="17"/>
      <c r="G21" s="17"/>
      <c r="H21" s="18"/>
    </row>
    <row r="22" customFormat="false" ht="25.5" hidden="false" customHeight="true" outlineLevel="0" collapsed="false">
      <c r="B22" s="17"/>
      <c r="C22" s="18"/>
      <c r="D22" s="17"/>
      <c r="E22" s="17"/>
      <c r="F22" s="17"/>
      <c r="G22" s="17"/>
      <c r="H22" s="18"/>
    </row>
    <row r="23" customFormat="false" ht="25.5" hidden="false" customHeight="true" outlineLevel="0" collapsed="false">
      <c r="B23" s="17"/>
      <c r="C23" s="18"/>
      <c r="D23" s="17"/>
      <c r="E23" s="17"/>
      <c r="F23" s="17"/>
      <c r="G23" s="17"/>
      <c r="H23" s="18"/>
    </row>
    <row r="24" customFormat="false" ht="25.5" hidden="false" customHeight="true" outlineLevel="0" collapsed="false">
      <c r="B24" s="17"/>
      <c r="C24" s="18"/>
      <c r="D24" s="17"/>
      <c r="E24" s="17"/>
      <c r="F24" s="17"/>
      <c r="G24" s="17"/>
      <c r="H24" s="18"/>
    </row>
    <row r="25" customFormat="false" ht="25.5" hidden="false" customHeight="true" outlineLevel="0" collapsed="false">
      <c r="B25" s="17"/>
      <c r="C25" s="18"/>
      <c r="D25" s="17"/>
      <c r="E25" s="17"/>
      <c r="F25" s="17"/>
      <c r="G25" s="17"/>
      <c r="H25" s="18"/>
    </row>
    <row r="26" customFormat="false" ht="25.5" hidden="false" customHeight="true" outlineLevel="0" collapsed="false">
      <c r="B26" s="17"/>
      <c r="C26" s="18"/>
      <c r="D26" s="17"/>
      <c r="E26" s="17"/>
      <c r="F26" s="17"/>
      <c r="G26" s="17"/>
      <c r="H26" s="18"/>
    </row>
    <row r="27" customFormat="false" ht="25.5" hidden="false" customHeight="true" outlineLevel="0" collapsed="false">
      <c r="B27" s="17"/>
      <c r="C27" s="18"/>
      <c r="D27" s="17"/>
      <c r="E27" s="17"/>
      <c r="F27" s="17"/>
      <c r="G27" s="17"/>
      <c r="H27" s="18"/>
    </row>
    <row r="28" customFormat="false" ht="15" hidden="false" customHeight="true" outlineLevel="0" collapsed="false">
      <c r="B28" s="19" t="s">
        <v>70</v>
      </c>
      <c r="C28" s="19"/>
      <c r="D28" s="20"/>
      <c r="E28" s="21" t="n">
        <f aca="false">SUMPRODUCT(IFERROR(E18:E27*1,0))</f>
        <v>0</v>
      </c>
      <c r="F28" s="21" t="n">
        <f aca="false">SUMPRODUCT((G18:G27="Done")*IFERROR(E18:E27*1,0))</f>
        <v>0</v>
      </c>
      <c r="G28" s="22" t="n">
        <f aca="false">IFERROR(F28/E28,0)</f>
        <v>0</v>
      </c>
      <c r="H28" s="20"/>
    </row>
    <row r="30" customFormat="false" ht="27.75" hidden="false" customHeight="true" outlineLevel="0" collapsed="false">
      <c r="B30" s="23" t="s">
        <v>71</v>
      </c>
      <c r="C30" s="23"/>
      <c r="D30" s="23"/>
      <c r="E30" s="23"/>
      <c r="F30" s="23"/>
      <c r="G30" s="23"/>
      <c r="H30" s="23"/>
    </row>
    <row r="32" customFormat="false" ht="15" hidden="false" customHeight="false" outlineLevel="0" collapsed="false">
      <c r="A32" s="6" t="s">
        <v>14</v>
      </c>
      <c r="B32" s="6"/>
      <c r="C32" s="6"/>
      <c r="D32" s="6"/>
      <c r="E32" s="6"/>
      <c r="F32" s="6"/>
      <c r="G32" s="6"/>
      <c r="H32" s="6"/>
    </row>
  </sheetData>
  <mergeCells count="20">
    <mergeCell ref="A1:H1"/>
    <mergeCell ref="A2:H2"/>
    <mergeCell ref="A3:H3"/>
    <mergeCell ref="C5:D5"/>
    <mergeCell ref="F5:H5"/>
    <mergeCell ref="C6:H6"/>
    <mergeCell ref="C7:H7"/>
    <mergeCell ref="A9:H9"/>
    <mergeCell ref="B10:E10"/>
    <mergeCell ref="F10:G10"/>
    <mergeCell ref="B11:E11"/>
    <mergeCell ref="F11:G11"/>
    <mergeCell ref="B12:E12"/>
    <mergeCell ref="F12:G12"/>
    <mergeCell ref="B13:E13"/>
    <mergeCell ref="F13:G13"/>
    <mergeCell ref="A16:H16"/>
    <mergeCell ref="B28:C28"/>
    <mergeCell ref="B30:H30"/>
    <mergeCell ref="A32:H32"/>
  </mergeCells>
  <conditionalFormatting sqref="F13">
    <cfRule type="cellIs" priority="2" operator="greaterThan" aboveAverage="0" equalAverage="0" bottom="0" percent="0" rank="0" text="" dxfId="0">
      <formula>1</formula>
    </cfRule>
    <cfRule type="cellIs" priority="3" operator="lessThanOrEqual" aboveAverage="0" equalAverage="0" bottom="0" percent="0" rank="0" text="" dxfId="1">
      <formula>1</formula>
    </cfRule>
  </conditionalFormatting>
  <conditionalFormatting sqref="G18:G27">
    <cfRule type="cellIs" priority="4" operator="equal" aboveAverage="0" equalAverage="0" bottom="0" percent="0" rank="0" text="" dxfId="2">
      <formula>"Done"</formula>
    </cfRule>
    <cfRule type="cellIs" priority="5" operator="equal" aboveAverage="0" equalAverage="0" bottom="0" percent="0" rank="0" text="" dxfId="2">
      <formula>"Complete"</formula>
    </cfRule>
    <cfRule type="cellIs" priority="6" operator="equal" aboveAverage="0" equalAverage="0" bottom="0" percent="0" rank="0" text="" dxfId="2">
      <formula>"Shipped"</formula>
    </cfRule>
    <cfRule type="cellIs" priority="7" operator="equal" aboveAverage="0" equalAverage="0" bottom="0" percent="0" rank="0" text="" dxfId="2">
      <formula>"GO"</formula>
    </cfRule>
    <cfRule type="cellIs" priority="8" operator="equal" aboveAverage="0" equalAverage="0" bottom="0" percent="0" rank="0" text="" dxfId="2">
      <formula>"On track"</formula>
    </cfRule>
    <cfRule type="cellIs" priority="9" operator="equal" aboveAverage="0" equalAverage="0" bottom="0" percent="0" rank="0" text="" dxfId="3">
      <formula>"In progress"</formula>
    </cfRule>
    <cfRule type="cellIs" priority="10" operator="equal" aboveAverage="0" equalAverage="0" bottom="0" percent="0" rank="0" text="" dxfId="3">
      <formula>"In review"</formula>
    </cfRule>
    <cfRule type="cellIs" priority="11" operator="equal" aboveAverage="0" equalAverage="0" bottom="0" percent="0" rank="0" text="" dxfId="3">
      <formula>"At risk"</formula>
    </cfRule>
    <cfRule type="cellIs" priority="12" operator="equal" aboveAverage="0" equalAverage="0" bottom="0" percent="0" rank="0" text="" dxfId="4">
      <formula>"Blocked"</formula>
    </cfRule>
    <cfRule type="cellIs" priority="13" operator="equal" aboveAverage="0" equalAverage="0" bottom="0" percent="0" rank="0" text="" dxfId="4">
      <formula>"No-Go"</formula>
    </cfRule>
    <cfRule type="cellIs" priority="14" operator="equal" aboveAverage="0" equalAverage="0" bottom="0" percent="0" rank="0" text="" dxfId="4">
      <formula>"Off track"</formula>
    </cfRule>
    <cfRule type="cellIs" priority="15" operator="equal" aboveAverage="0" equalAverage="0" bottom="0" percent="0" rank="0" text="" dxfId="5">
      <formula>"To do"</formula>
    </cfRule>
    <cfRule type="cellIs" priority="16" operator="equal" aboveAverage="0" equalAverage="0" bottom="0" percent="0" rank="0" text="" dxfId="5">
      <formula>"Not started"</formula>
    </cfRule>
    <cfRule type="cellIs" priority="17" operator="equal" aboveAverage="0" equalAverage="0" bottom="0" percent="0" rank="0" text="" dxfId="5">
      <formula>"Backlog"</formula>
    </cfRule>
    <cfRule type="cellIs" priority="18" operator="equal" aboveAverage="0" equalAverage="0" bottom="0" percent="0" rank="0" text="" dxfId="6">
      <formula>"N/A"</formula>
    </cfRule>
  </conditionalFormatting>
  <dataValidations count="3">
    <dataValidation allowBlank="true" errorStyle="stop" operator="between" showDropDown="false" showErrorMessage="false" showInputMessage="false" sqref="D18:D27" type="list">
      <formula1>"Story,Bug,Spike,Chore,Tech debt"</formula1>
      <formula2>0</formula2>
    </dataValidation>
    <dataValidation allowBlank="true" errorStyle="stop" operator="between" showDropDown="false" showErrorMessage="false" showInputMessage="false" sqref="E18:E27" type="list">
      <formula1>"1,2,3,5,8,13"</formula1>
      <formula2>0</formula2>
    </dataValidation>
    <dataValidation allowBlank="true" errorStyle="stop" operator="between" showDropDown="false" showErrorMessage="false" showInputMessage="false" sqref="G18:G27" type="list">
      <formula1>"To do,In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4" min="2" style="0" width="33"/>
    <col collapsed="false" customWidth="true" hidden="false" outlineLevel="0" max="7" min="5" style="0" width="14"/>
  </cols>
  <sheetData>
    <row r="1" customFormat="false" ht="30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107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false" outlineLevel="0" collapsed="false">
      <c r="B5" s="7" t="s">
        <v>17</v>
      </c>
      <c r="C5" s="18"/>
      <c r="D5" s="7" t="s">
        <v>74</v>
      </c>
      <c r="E5" s="8"/>
      <c r="F5" s="8"/>
      <c r="G5" s="8"/>
    </row>
    <row r="6" customFormat="false" ht="15" hidden="false" customHeight="false" outlineLevel="0" collapsed="false">
      <c r="B6" s="7" t="s">
        <v>76</v>
      </c>
      <c r="C6" s="8"/>
      <c r="D6" s="8"/>
      <c r="E6" s="8"/>
      <c r="F6" s="8"/>
      <c r="G6" s="8"/>
    </row>
    <row r="8" customFormat="false" ht="21.75" hidden="false" customHeight="true" outlineLevel="0" collapsed="false">
      <c r="A8" s="10" t="s">
        <v>78</v>
      </c>
      <c r="B8" s="10"/>
      <c r="C8" s="10"/>
      <c r="D8" s="10"/>
      <c r="E8" s="10"/>
      <c r="F8" s="10"/>
      <c r="G8" s="10"/>
    </row>
    <row r="9" customFormat="false" ht="24" hidden="false" customHeight="true" outlineLevel="0" collapsed="false">
      <c r="B9" s="24" t="s">
        <v>79</v>
      </c>
      <c r="C9" s="24" t="s">
        <v>80</v>
      </c>
      <c r="D9" s="24" t="s">
        <v>81</v>
      </c>
    </row>
    <row r="10" customFormat="false" ht="25.5" hidden="false" customHeight="true" outlineLevel="0" collapsed="false">
      <c r="B10" s="25"/>
      <c r="C10" s="25"/>
      <c r="D10" s="25"/>
    </row>
    <row r="11" customFormat="false" ht="25.5" hidden="false" customHeight="true" outlineLevel="0" collapsed="false">
      <c r="B11" s="25"/>
      <c r="C11" s="25"/>
      <c r="D11" s="25"/>
    </row>
    <row r="12" customFormat="false" ht="25.5" hidden="false" customHeight="true" outlineLevel="0" collapsed="false">
      <c r="B12" s="25"/>
      <c r="C12" s="25"/>
      <c r="D12" s="25"/>
    </row>
    <row r="13" customFormat="false" ht="25.5" hidden="false" customHeight="true" outlineLevel="0" collapsed="false">
      <c r="B13" s="25"/>
      <c r="C13" s="25"/>
      <c r="D13" s="25"/>
    </row>
    <row r="14" customFormat="false" ht="25.5" hidden="false" customHeight="true" outlineLevel="0" collapsed="false">
      <c r="B14" s="25"/>
      <c r="C14" s="25"/>
      <c r="D14" s="25"/>
    </row>
    <row r="15" customFormat="false" ht="25.5" hidden="false" customHeight="true" outlineLevel="0" collapsed="false">
      <c r="B15" s="25"/>
      <c r="C15" s="25"/>
      <c r="D15" s="25"/>
    </row>
    <row r="17" customFormat="false" ht="21.75" hidden="false" customHeight="true" outlineLevel="0" collapsed="false">
      <c r="A17" s="10" t="s">
        <v>94</v>
      </c>
      <c r="B17" s="10"/>
      <c r="C17" s="10"/>
      <c r="D17" s="10"/>
      <c r="E17" s="10"/>
      <c r="F17" s="10"/>
      <c r="G17" s="10"/>
    </row>
    <row r="18" customFormat="false" ht="30" hidden="false" customHeight="true" outlineLevel="0" collapsed="false">
      <c r="B18" s="16" t="s">
        <v>95</v>
      </c>
      <c r="C18" s="16"/>
      <c r="D18" s="16" t="s">
        <v>35</v>
      </c>
      <c r="E18" s="16" t="s">
        <v>96</v>
      </c>
      <c r="F18" s="16" t="s">
        <v>36</v>
      </c>
    </row>
    <row r="19" customFormat="false" ht="25.5" hidden="false" customHeight="true" outlineLevel="0" collapsed="false">
      <c r="B19" s="18"/>
      <c r="C19" s="18"/>
      <c r="D19" s="17"/>
      <c r="E19" s="17"/>
      <c r="F19" s="17"/>
    </row>
    <row r="20" customFormat="false" ht="25.5" hidden="false" customHeight="true" outlineLevel="0" collapsed="false">
      <c r="B20" s="18"/>
      <c r="C20" s="18"/>
      <c r="D20" s="17"/>
      <c r="E20" s="17"/>
      <c r="F20" s="17"/>
    </row>
    <row r="21" customFormat="false" ht="25.5" hidden="false" customHeight="true" outlineLevel="0" collapsed="false">
      <c r="B21" s="18"/>
      <c r="C21" s="18"/>
      <c r="D21" s="17"/>
      <c r="E21" s="17"/>
      <c r="F21" s="17"/>
    </row>
    <row r="22" customFormat="false" ht="25.5" hidden="false" customHeight="true" outlineLevel="0" collapsed="false">
      <c r="B22" s="18"/>
      <c r="C22" s="18"/>
      <c r="D22" s="17"/>
      <c r="E22" s="17"/>
      <c r="F22" s="17"/>
    </row>
    <row r="23" customFormat="false" ht="25.5" hidden="false" customHeight="true" outlineLevel="0" collapsed="false">
      <c r="B23" s="18"/>
      <c r="C23" s="18"/>
      <c r="D23" s="17"/>
      <c r="E23" s="17"/>
      <c r="F23" s="17"/>
    </row>
    <row r="24" customFormat="false" ht="25.5" hidden="false" customHeight="true" outlineLevel="0" collapsed="false">
      <c r="B24" s="18"/>
      <c r="C24" s="18"/>
      <c r="D24" s="17"/>
      <c r="E24" s="17"/>
      <c r="F24" s="17"/>
    </row>
    <row r="25" customFormat="false" ht="15" hidden="false" customHeight="false" outlineLevel="0" collapsed="false">
      <c r="B25" s="26" t="s">
        <v>103</v>
      </c>
      <c r="C25" s="26"/>
      <c r="D25" s="14" t="n">
        <f aca="false">COUNTIF(F19:F24,"&lt;&gt;Done")-COUNTBLANK(F19:F24)</f>
        <v>0</v>
      </c>
    </row>
    <row r="27" customFormat="false" ht="15" hidden="false" customHeight="false" outlineLevel="0" collapsed="false">
      <c r="A27" s="6" t="s">
        <v>14</v>
      </c>
      <c r="B27" s="6"/>
      <c r="C27" s="6"/>
      <c r="D27" s="6"/>
      <c r="E27" s="6"/>
      <c r="F27" s="6"/>
      <c r="G27" s="6"/>
    </row>
  </sheetData>
  <mergeCells count="16">
    <mergeCell ref="A1:G1"/>
    <mergeCell ref="A2:G2"/>
    <mergeCell ref="A3:G3"/>
    <mergeCell ref="E5:G5"/>
    <mergeCell ref="C6:G6"/>
    <mergeCell ref="A8:G8"/>
    <mergeCell ref="A17:G17"/>
    <mergeCell ref="B18:C18"/>
    <mergeCell ref="B19:C19"/>
    <mergeCell ref="B20:C20"/>
    <mergeCell ref="B21:C21"/>
    <mergeCell ref="B22:C22"/>
    <mergeCell ref="B23:C23"/>
    <mergeCell ref="B24:C24"/>
    <mergeCell ref="B25:C25"/>
    <mergeCell ref="A27:G27"/>
  </mergeCells>
  <conditionalFormatting sqref="F19:F24">
    <cfRule type="cellIs" priority="2" operator="equal" aboveAverage="0" equalAverage="0" bottom="0" percent="0" rank="0" text="" dxfId="2">
      <formula>"Done"</formula>
    </cfRule>
    <cfRule type="cellIs" priority="3" operator="equal" aboveAverage="0" equalAverage="0" bottom="0" percent="0" rank="0" text="" dxfId="2">
      <formula>"Complete"</formula>
    </cfRule>
    <cfRule type="cellIs" priority="4" operator="equal" aboveAverage="0" equalAverage="0" bottom="0" percent="0" rank="0" text="" dxfId="2">
      <formula>"Shipped"</formula>
    </cfRule>
    <cfRule type="cellIs" priority="5" operator="equal" aboveAverage="0" equalAverage="0" bottom="0" percent="0" rank="0" text="" dxfId="2">
      <formula>"GO"</formula>
    </cfRule>
    <cfRule type="cellIs" priority="6" operator="equal" aboveAverage="0" equalAverage="0" bottom="0" percent="0" rank="0" text="" dxfId="2">
      <formula>"On track"</formula>
    </cfRule>
    <cfRule type="cellIs" priority="7" operator="equal" aboveAverage="0" equalAverage="0" bottom="0" percent="0" rank="0" text="" dxfId="3">
      <formula>"In progress"</formula>
    </cfRule>
    <cfRule type="cellIs" priority="8" operator="equal" aboveAverage="0" equalAverage="0" bottom="0" percent="0" rank="0" text="" dxfId="3">
      <formula>"In review"</formula>
    </cfRule>
    <cfRule type="cellIs" priority="9" operator="equal" aboveAverage="0" equalAverage="0" bottom="0" percent="0" rank="0" text="" dxfId="3">
      <formula>"At risk"</formula>
    </cfRule>
    <cfRule type="cellIs" priority="10" operator="equal" aboveAverage="0" equalAverage="0" bottom="0" percent="0" rank="0" text="" dxfId="4">
      <formula>"Blocked"</formula>
    </cfRule>
    <cfRule type="cellIs" priority="11" operator="equal" aboveAverage="0" equalAverage="0" bottom="0" percent="0" rank="0" text="" dxfId="4">
      <formula>"No-Go"</formula>
    </cfRule>
    <cfRule type="cellIs" priority="12" operator="equal" aboveAverage="0" equalAverage="0" bottom="0" percent="0" rank="0" text="" dxfId="4">
      <formula>"Off track"</formula>
    </cfRule>
    <cfRule type="cellIs" priority="13" operator="equal" aboveAverage="0" equalAverage="0" bottom="0" percent="0" rank="0" text="" dxfId="5">
      <formula>"To do"</formula>
    </cfRule>
    <cfRule type="cellIs" priority="14" operator="equal" aboveAverage="0" equalAverage="0" bottom="0" percent="0" rank="0" text="" dxfId="5">
      <formula>"Not started"</formula>
    </cfRule>
    <cfRule type="cellIs" priority="15" operator="equal" aboveAverage="0" equalAverage="0" bottom="0" percent="0" rank="0" text="" dxfId="5">
      <formula>"Backlog"</formula>
    </cfRule>
    <cfRule type="cellIs" priority="16" operator="equal" aboveAverage="0" equalAverage="0" bottom="0" percent="0" rank="0" text="" dxfId="6">
      <formula>"N/A"</formula>
    </cfRule>
  </conditionalFormatting>
  <dataValidations count="1">
    <dataValidation allowBlank="true" errorStyle="stop" operator="between" showDropDown="false" showErrorMessage="false" showInputMessage="false" sqref="F19:F24" type="list">
      <formula1>"To do,In progress,In review,Blocked,Done"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2026-06-18T20:59:20Z</dcterms:created>
  <dc:creator>openpyxl</dc:creator>
  <dc:description/>
  <dc:language>en-US</dc:language>
  <cp:lastModifiedBy/>
  <dcterms:modified xsi:type="dcterms:W3CDTF">2026-06-18T20:59:20Z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