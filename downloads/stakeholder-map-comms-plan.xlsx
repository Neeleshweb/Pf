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egister — Example" sheetId="2" state="visible" r:id="rId4"/>
    <sheet name="Power–Interest Grid" sheetId="3" state="visible" r:id="rId5"/>
    <sheet name="RACI — Example" sheetId="4" state="visible" r:id="rId6"/>
    <sheet name="Comm Plan — Example" sheetId="5" state="visible" r:id="rId7"/>
    <sheet name="Register — Blank" sheetId="6" state="visible" r:id="rId8"/>
    <sheet name="RACI — Blank" sheetId="7" state="visible" r:id="rId9"/>
    <sheet name="Comm Plan — Blan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<sst xmlns="http://schemas.openxmlformats.org/spreadsheetml/2006/main" count="434" uniqueCount="216">
  <si>
    <t xml:space="preserve">STAKEHOLDER MAP &amp; COMMUNICATION PLAN</t>
  </si>
  <si>
    <t xml:space="preserve">How to use this workbook</t>
  </si>
  <si>
    <t xml:space="preserve">PM Toolkit by Neelesh Singh  ·  neeleshpmtoolkit.com</t>
  </si>
  <si>
    <t xml:space="preserve">What this is</t>
  </si>
  <si>
    <t xml:space="preserve">Four linked tools to make stakeholder work deliberate instead of accidental: a register that auto-classifies everyone on a power/interest grid, the grid itself, a RACI for decisions, and a communication plan. The worked example follows “Meterly” (a fictional billing &amp; payments SaaS) launching EU payments + smart dunning.</t>
  </si>
  <si>
    <t xml:space="preserve">1) Power / Interest grid  (Mendelow)</t>
  </si>
  <si>
    <t xml:space="preserve">Manage closely</t>
  </si>
  <si>
    <t xml:space="preserve">High power + high interest. Engage fully, co-create, no surprises.</t>
  </si>
  <si>
    <t xml:space="preserve">Keep satisfied</t>
  </si>
  <si>
    <t xml:space="preserve">High power, lower interest. Keep them happy; don't drown them in detail.</t>
  </si>
  <si>
    <t xml:space="preserve">Keep informed</t>
  </si>
  <si>
    <t xml:space="preserve">Lower power, high interest. Update often — they're your allies and early warning system.</t>
  </si>
  <si>
    <t xml:space="preserve">Monitor</t>
  </si>
  <si>
    <t xml:space="preserve">Low power, low interest. Light touch.</t>
  </si>
  <si>
    <t xml:space="preserve">Score Power and Interest 1–5 in the Register; the Quadrant column classifies each person automatically (threshold = 3). Also track current vs desired stance — the gap is your influence plan.</t>
  </si>
  <si>
    <t xml:space="preserve">2) RACI  (per decision, not per person)</t>
  </si>
  <si>
    <t xml:space="preserve">R</t>
  </si>
  <si>
    <t xml:space="preserve">Responsible — does the work.</t>
  </si>
  <si>
    <t xml:space="preserve">A</t>
  </si>
  <si>
    <t xml:space="preserve">Accountable — owns the outcome. Exactly ONE per row (the A-count column checks this).</t>
  </si>
  <si>
    <t xml:space="preserve">C</t>
  </si>
  <si>
    <t xml:space="preserve">Consulted — asked before the decision.</t>
  </si>
  <si>
    <t xml:space="preserve">I</t>
  </si>
  <si>
    <t xml:space="preserve">Informed — told after.</t>
  </si>
  <si>
    <t xml:space="preserve">3) Communication plan</t>
  </si>
  <si>
    <t xml:space="preserve">For each audience: the message, the channel, the cadence, and who owns it. The fastest way to lose a stakeholder is the wrong cadence — too little and they feel blindsided, too much and they tune out.</t>
  </si>
  <si>
    <t xml:space="preserve">How to use the file</t>
  </si>
  <si>
    <t xml:space="preserve">•  Start in ‘Register — Example’ and ‘Power–Interest Grid’ to see it populated, then work in the ‘— Blank’ tabs.</t>
  </si>
  <si>
    <t xml:space="preserve">•  Edit only the blue cells (scores, R/A/C/I). Quadrants and A-counts calculate themselves.</t>
  </si>
  <si>
    <t xml:space="preserve">•  Revisit every planning cycle — power and interest shift as a project moves.</t>
  </si>
  <si>
    <t xml:space="preserve">© PM Toolkit by Neelesh Singh  ·  neeleshpmtoolkit.com  —  Free for personal use. Adapt freely; please keep the credit line.</t>
  </si>
  <si>
    <t xml:space="preserve">STAKEHOLDER REGISTER</t>
  </si>
  <si>
    <t xml:space="preserve">Map power × interest, set the engagement strategy — the quadrant fills itself</t>
  </si>
  <si>
    <t xml:space="preserve">#</t>
  </si>
  <si>
    <t xml:space="preserve">Stakeholder / role</t>
  </si>
  <si>
    <t xml:space="preserve">Group</t>
  </si>
  <si>
    <t xml:space="preserve">Power
(1–5)</t>
  </si>
  <si>
    <t xml:space="preserve">Interest
(1–5)</t>
  </si>
  <si>
    <t xml:space="preserve">Quadrant
(auto)</t>
  </si>
  <si>
    <t xml:space="preserve">Current
stance</t>
  </si>
  <si>
    <t xml:space="preserve">Desired
stance</t>
  </si>
  <si>
    <t xml:space="preserve">What they care about</t>
  </si>
  <si>
    <t xml:space="preserve">Engagement strategy</t>
  </si>
  <si>
    <t xml:space="preserve">Owner</t>
  </si>
  <si>
    <t xml:space="preserve">Cadence</t>
  </si>
  <si>
    <t xml:space="preserve">CEO</t>
  </si>
  <si>
    <t xml:space="preserve">Exec</t>
  </si>
  <si>
    <t xml:space="preserve">Supporter</t>
  </si>
  <si>
    <t xml:space="preserve">Champion</t>
  </si>
  <si>
    <t xml:space="preserve">Growth, NRR, board narrative</t>
  </si>
  <si>
    <t xml:space="preserve">Tie to company growth story; monthly 1:1</t>
  </si>
  <si>
    <t xml:space="preserve">PM</t>
  </si>
  <si>
    <t xml:space="preserve">Weekly 1:1</t>
  </si>
  <si>
    <t xml:space="preserve">CFO</t>
  </si>
  <si>
    <t xml:space="preserve">Neutral</t>
  </si>
  <si>
    <t xml:space="preserve">Payback, margin, compliance, cash</t>
  </si>
  <si>
    <t xml:space="preserve">Co-own the business case &amp; model</t>
  </si>
  <si>
    <t xml:space="preserve">VP Engineering</t>
  </si>
  <si>
    <t xml:space="preserve">Eng</t>
  </si>
  <si>
    <t xml:space="preserve">Capacity, tech risk, sequencing</t>
  </si>
  <si>
    <t xml:space="preserve">Joint planning; protect the team</t>
  </si>
  <si>
    <t xml:space="preserve">Biweekly steering</t>
  </si>
  <si>
    <t xml:space="preserve">CRO / VP Sales</t>
  </si>
  <si>
    <t xml:space="preserve">GTM</t>
  </si>
  <si>
    <t xml:space="preserve">EU pipeline unblock, win rate</t>
  </si>
  <si>
    <t xml:space="preserve">Feed pipeline data; enablement</t>
  </si>
  <si>
    <t xml:space="preserve">Head of Customer Success</t>
  </si>
  <si>
    <t xml:space="preserve">Churn, adoption, recovery wins</t>
  </si>
  <si>
    <t xml:space="preserve">Co-design pilot; share wins</t>
  </si>
  <si>
    <t xml:space="preserve">Biweekly</t>
  </si>
  <si>
    <t xml:space="preserve">Head of Compliance &amp; Security</t>
  </si>
  <si>
    <t xml:space="preserve">Risk</t>
  </si>
  <si>
    <t xml:space="preserve">Skeptic</t>
  </si>
  <si>
    <t xml:space="preserve">PSD2/SCA, PCI, SOC 2 scope</t>
  </si>
  <si>
    <t xml:space="preserve">Bring in early; sign-off gates</t>
  </si>
  <si>
    <t xml:space="preserve">Monthly review</t>
  </si>
  <si>
    <t xml:space="preserve">Board / Investors</t>
  </si>
  <si>
    <t xml:space="preserve">Capital efficiency, EU TAM</t>
  </si>
  <si>
    <t xml:space="preserve">Quarterly update via CEO</t>
  </si>
  <si>
    <t xml:space="preserve">Quarterly</t>
  </si>
  <si>
    <t xml:space="preserve">Legal Counsel</t>
  </si>
  <si>
    <t xml:space="preserve">DPAs, GDPR, contracts</t>
  </si>
  <si>
    <t xml:space="preserve">Loop in for EU data &amp; terms</t>
  </si>
  <si>
    <t xml:space="preserve">As needed</t>
  </si>
  <si>
    <t xml:space="preserve">Payment partner (PSP / bank)</t>
  </si>
  <si>
    <t xml:space="preserve">External</t>
  </si>
  <si>
    <t xml:space="preserve">Volume, integration scope</t>
  </si>
  <si>
    <t xml:space="preserve">Keep satisfied; clear roadmap</t>
  </si>
  <si>
    <t xml:space="preserve">Eng lead</t>
  </si>
  <si>
    <t xml:space="preserve">Monthly</t>
  </si>
  <si>
    <t xml:space="preserve">Design-partner customers (9)</t>
  </si>
  <si>
    <t xml:space="preserve">Recover lost revenue, fewer failures</t>
  </si>
  <si>
    <t xml:space="preserve">Tight pilot loop; co-create</t>
  </si>
  <si>
    <t xml:space="preserve">Biweekly pilot</t>
  </si>
  <si>
    <t xml:space="preserve">Head of Design</t>
  </si>
  <si>
    <t xml:space="preserve">Product</t>
  </si>
  <si>
    <t xml:space="preserve">Portal UX, dunning comms</t>
  </si>
  <si>
    <t xml:space="preserve">Involve in flows; share research</t>
  </si>
  <si>
    <t xml:space="preserve">Sprint review</t>
  </si>
  <si>
    <t xml:space="preserve">Data / Analytics lead</t>
  </si>
  <si>
    <t xml:space="preserve">Recovery metrics, dashboards</t>
  </si>
  <si>
    <t xml:space="preserve">Define metrics together</t>
  </si>
  <si>
    <t xml:space="preserve">Support team lead</t>
  </si>
  <si>
    <t xml:space="preserve">Ticket volume from failures</t>
  </si>
  <si>
    <t xml:space="preserve">Enable; pre-empt FAQs</t>
  </si>
  <si>
    <t xml:space="preserve">CS lead</t>
  </si>
  <si>
    <t xml:space="preserve">Marketing lead</t>
  </si>
  <si>
    <t xml:space="preserve">Launch narrative</t>
  </si>
  <si>
    <t xml:space="preserve">Keep informed; launch assets</t>
  </si>
  <si>
    <t xml:space="preserve">PMM</t>
  </si>
  <si>
    <t xml:space="preserve">At milestones</t>
  </si>
  <si>
    <t xml:space="preserve">EU Regulator (indirect)</t>
  </si>
  <si>
    <t xml:space="preserve">PSD2 / SCA conformance</t>
  </si>
  <si>
    <t xml:space="preserve">Stay compliant; monitor</t>
  </si>
  <si>
    <t xml:space="preserve">Compliance</t>
  </si>
  <si>
    <t xml:space="preserve">POWER / INTEREST GRID</t>
  </si>
  <si>
    <t xml:space="preserve">Mendelow matrix — plotted from the Register (Power = Y, Interest = X)</t>
  </si>
  <si>
    <t xml:space="preserve">Key</t>
  </si>
  <si>
    <t xml:space="preserve">Quadrants</t>
  </si>
  <si>
    <t xml:space="preserve">1</t>
  </si>
  <si>
    <t xml:space="preserve">High power, high interest — engage fully, co-create.</t>
  </si>
  <si>
    <t xml:space="preserve">2</t>
  </si>
  <si>
    <t xml:space="preserve">High power, lower interest — keep happy, don't overload.</t>
  </si>
  <si>
    <t xml:space="preserve">3</t>
  </si>
  <si>
    <t xml:space="preserve">Lower power, high interest — update often; useful allies.</t>
  </si>
  <si>
    <t xml:space="preserve">4</t>
  </si>
  <si>
    <t xml:space="preserve">Low power, low interest — light touch.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</si>
  <si>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</si>
  <si>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</si>
  <si>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</si>
  <si>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</si>
  <si>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</si>
  <si>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</si>
  <si>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</si>
  <si>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</si>
  <si>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</si>
  <si>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</si>
  <si>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</si>
  <si>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RACI MATRIX</t>
  </si>
  <si>
    <t xml:space="preserve">Responsible · Accountable · Consulted · Informed — exactly one A per row</t>
  </si>
  <si>
    <t xml:space="preserve">Activity / decision</t>
  </si>
  <si>
    <t xml:space="preserve">PM (Product)</t>
  </si>
  <si>
    <t xml:space="preserve">Design</t>
  </si>
  <si>
    <t xml:space="preserve">CS</t>
  </si>
  <si>
    <t xml:space="preserve">Sales / CRO</t>
  </si>
  <si>
    <t xml:space="preserve">Compliance / Sec</t>
  </si>
  <si>
    <t xml:space="preserve">Finance / CFO</t>
  </si>
  <si>
    <t xml:space="preserve">Legal</t>
  </si>
  <si>
    <t xml:space="preserve">A count</t>
  </si>
  <si>
    <t xml:space="preserve">Define EU payments &amp; dunning requirements</t>
  </si>
  <si>
    <t xml:space="preserve">PSD2 / SCA &amp; PCI compliance sign-off</t>
  </si>
  <si>
    <t xml:space="preserve">Pricing for the recovery add-on</t>
  </si>
  <si>
    <t xml:space="preserve">Pilot with design-partner customers</t>
  </si>
  <si>
    <t xml:space="preserve">GA launch go / no-go</t>
  </si>
  <si>
    <t xml:space="preserve">Customer &amp; release communications</t>
  </si>
  <si>
    <t xml:space="preserve">Revenue-recognition policy</t>
  </si>
  <si>
    <t xml:space="preserve">Security review / questionnaire</t>
  </si>
  <si>
    <t xml:space="preserve">Budget &amp; headcount approval</t>
  </si>
  <si>
    <t xml:space="preserve">R = does the work · A = owns it (one only) · C = consulted before · I = informed after</t>
  </si>
  <si>
    <t xml:space="preserve">COMMUNICATION PLAN</t>
  </si>
  <si>
    <t xml:space="preserve">Who hears what, how often, from whom — keep every stakeholder in the right loop</t>
  </si>
  <si>
    <t xml:space="preserve">Audience</t>
  </si>
  <si>
    <t xml:space="preserve">Purpose / key message</t>
  </si>
  <si>
    <t xml:space="preserve">Channel</t>
  </si>
  <si>
    <t xml:space="preserve">Frequency</t>
  </si>
  <si>
    <t xml:space="preserve">Format</t>
  </si>
  <si>
    <t xml:space="preserve">Next milestone</t>
  </si>
  <si>
    <t xml:space="preserve">Board / investors</t>
  </si>
  <si>
    <t xml:space="preserve">EU TAM, payback, progress vs KRs</t>
  </si>
  <si>
    <t xml:space="preserve">Board meeting</t>
  </si>
  <si>
    <t xml:space="preserve">Deck</t>
  </si>
  <si>
    <t xml:space="preserve">Q-end review</t>
  </si>
  <si>
    <t xml:space="preserve">Exec steering group</t>
  </si>
  <si>
    <t xml:space="preserve">Progress, risks, decisions needed</t>
  </si>
  <si>
    <t xml:space="preserve">Live meeting + notes</t>
  </si>
  <si>
    <t xml:space="preserve">1-pager</t>
  </si>
  <si>
    <t xml:space="preserve">Next steering</t>
  </si>
  <si>
    <t xml:space="preserve">Engineering team</t>
  </si>
  <si>
    <t xml:space="preserve">Scope, sequencing, blockers</t>
  </si>
  <si>
    <t xml:space="preserve">Sprint planning / review</t>
  </si>
  <si>
    <t xml:space="preserve">Each sprint</t>
  </si>
  <si>
    <t xml:space="preserve">Board + standup</t>
  </si>
  <si>
    <t xml:space="preserve">Sprint start</t>
  </si>
  <si>
    <t xml:space="preserve">Design-partner customers</t>
  </si>
  <si>
    <t xml:space="preserve">Pilot progress, gather feedback</t>
  </si>
  <si>
    <t xml:space="preserve">Call + shared Slack</t>
  </si>
  <si>
    <t xml:space="preserve">Live + recap</t>
  </si>
  <si>
    <t xml:space="preserve">Pilot check-in</t>
  </si>
  <si>
    <t xml:space="preserve">Customer Success team</t>
  </si>
  <si>
    <t xml:space="preserve">Talk track, recovery wins, FAQs</t>
  </si>
  <si>
    <t xml:space="preserve">Enablement session + doc</t>
  </si>
  <si>
    <t xml:space="preserve">Pre-GA, then monthly</t>
  </si>
  <si>
    <t xml:space="preserve">Deck + FAQ</t>
  </si>
  <si>
    <t xml:space="preserve">Pre-GA enablement</t>
  </si>
  <si>
    <t xml:space="preserve">All customers</t>
  </si>
  <si>
    <t xml:space="preserve">What shipped &amp; why it matters</t>
  </si>
  <si>
    <t xml:space="preserve">In-app + email</t>
  </si>
  <si>
    <t xml:space="preserve">Each release</t>
  </si>
  <si>
    <t xml:space="preserve">Release notes</t>
  </si>
  <si>
    <t xml:space="preserve">At GA</t>
  </si>
  <si>
    <t xml:space="preserve">Compliance &amp; Legal</t>
  </si>
  <si>
    <t xml:space="preserve">PSD2/SCA/PCI checkpoints</t>
  </si>
  <si>
    <t xml:space="preserve">Review meeting</t>
  </si>
  <si>
    <t xml:space="preserve">Checklist</t>
  </si>
  <si>
    <t xml:space="preserve">Next checkpoint</t>
  </si>
  <si>
    <t xml:space="preserve">Company all-hands</t>
  </si>
  <si>
    <t xml:space="preserve">Launch milestone &amp; impact</t>
  </si>
  <si>
    <t xml:space="preserve">All-hands</t>
  </si>
  <si>
    <t xml:space="preserve">Short demo</t>
  </si>
  <si>
    <t xml:space="preserve">GA week</t>
  </si>
  <si>
    <t xml:space="preserve">Sales team</t>
  </si>
  <si>
    <t xml:space="preserve">EU enablement &amp; positioning</t>
  </si>
  <si>
    <t xml:space="preserve">Session + battlecard</t>
  </si>
  <si>
    <t xml:space="preserve">CRO</t>
  </si>
  <si>
    <t xml:space="preserve">Battlecard</t>
  </si>
  <si>
    <t xml:space="preserve">Pre-GA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</si>
</sst>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8540A"/>
      <name val="Arial"/>
      <family val="0"/>
      <charset val="1"/>
    </font>
    <font>
      <b val="true"/>
      <sz val="12"/>
      <color rgb="FFE8540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6B6B6B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1"/>
      <color rgb="FFE8540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"/>
      <color rgb="FF6B6B6B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540A"/>
        <bgColor rgb="FFB23F06"/>
      </patternFill>
    </fill>
    <fill>
      <patternFill patternType="solid">
        <fgColor rgb="FFB23F06"/>
        <bgColor rgb="FFE8540A"/>
      </patternFill>
    </fill>
    <fill>
      <patternFill patternType="solid">
        <fgColor rgb="FFFCEDE6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B23F06"/>
        <sz val="9"/>
      </font>
      <fill>
        <patternFill>
          <bgColor rgb="FFFBDFD0"/>
        </patternFill>
      </fill>
    </dxf>
    <dxf>
      <font>
        <name val="Arial"/>
        <charset val="1"/>
        <family val="0"/>
        <b val="1"/>
        <color rgb="FF9A6B00"/>
        <sz val="9"/>
      </font>
      <fill>
        <patternFill>
          <bgColor rgb="FFFFF3D6"/>
        </patternFill>
      </fill>
    </dxf>
    <dxf>
      <font>
        <name val="Arial"/>
        <charset val="1"/>
        <family val="0"/>
        <b val="1"/>
        <color rgb="FF1E7A2E"/>
        <sz val="9"/>
      </font>
      <fill>
        <patternFill>
          <bgColor rgb="FFE3F4E1"/>
        </patternFill>
      </fill>
    </dxf>
    <dxf>
      <font>
        <name val="Arial"/>
        <charset val="1"/>
        <family val="0"/>
        <b val="1"/>
        <color rgb="FF5A5A5A"/>
        <sz val="9"/>
      </font>
      <fill>
        <patternFill>
          <bgColor rgb="FFEFEF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2E"/>
      <rgbColor rgb="FF000080"/>
      <rgbColor rgb="FF9A6B00"/>
      <rgbColor rgb="FF800080"/>
      <rgbColor rgb="FF008080"/>
      <rgbColor rgb="FFC0C0C0"/>
      <rgbColor rgb="FF878787"/>
      <rgbColor rgb="FF9999FF"/>
      <rgbColor rgb="FF993366"/>
      <rgbColor rgb="FFFFF3D6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4E1"/>
      <rgbColor rgb="FFFCEDE6"/>
      <rgbColor rgb="FF99CCFF"/>
      <rgbColor rgb="FFFF99CC"/>
      <rgbColor rgb="FFCC99FF"/>
      <rgbColor rgb="FFFBDFD0"/>
      <rgbColor rgb="FF3366FF"/>
      <rgbColor rgb="FF33CCCC"/>
      <rgbColor rgb="FF99CC00"/>
      <rgbColor rgb="FFFFCC00"/>
      <rgbColor rgb="FFFF9900"/>
      <rgbColor rgb="FFE8540A"/>
      <rgbColor rgb="FF6B6B6B"/>
      <rgbColor rgb="FF969696"/>
      <rgbColor rgb="FF003366"/>
      <rgbColor rgb="FF339966"/>
      <rgbColor rgb="FF003300"/>
      <rgbColor rgb="FF333300"/>
      <rgbColor rgb="FFB23F06"/>
      <rgbColor rgb="FF993366"/>
      <rgbColor rgb="FF5A5A5A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vs Interest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"Stakeholders"</c:f>
              <c:strCache>
                <c:ptCount val="1"/>
                <c:pt idx="0">
                  <c:v>Stakeholders</c:v>
                </c:pt>
              </c:strCache>
            </c:strRef>
          </c:tx>
          <c:spPr>
            <a:solidFill>
              <a:srgbClr val="e8540a"/>
            </a:solidFill>
            <a:ln w="28440">
              <a:noFill/>
            </a:ln>
          </c:spPr>
          <c:marker>
            <c:symbol val="circle"/>
            <c:size val="9"/>
            <c:spPr>
              <a:solidFill>
                <a:srgbClr val="e8540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'Register — Example'!$E$6:$E$20</c:f>
              <c:numCache>
                <c:formatCode>General</c:formatCode>
                <c:ptCount val="15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</c:numCache>
            </c:numRef>
          </c:xVal>
          <c:yVal>
            <c:numRef>
              <c:f>'Register — Example'!$D$6:$D$20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</c:numCache>
            </c:numRef>
          </c:yVal>
          <c:smooth val="1"/>
        </c:ser>
        <c:axId val="61165549"/>
        <c:axId val="18311227"/>
      </c:scatterChart>
      <c:valAx>
        <c:axId val="61165549"/>
        <c:scaling>
          <c:orientation val="minMax"/>
          <c:max val="5.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Interest  →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11227"/>
        <c:crosses val="autoZero"/>
        <c:crossBetween val="midCat"/>
      </c:valAx>
      <c:valAx>
        <c:axId val="18311227"/>
        <c:scaling>
          <c:orientation val="minMax"/>
          <c:max val="5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 →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6554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9</xdr:col>
      <xdr:colOff>63000</xdr:colOff>
      <xdr:row>24</xdr:row>
      <xdr:rowOff>149040</xdr:rowOff>
    </xdr:to>
    <xdr:graphicFrame>
      <xdr:nvGraphicFramePr>
        <xdr:cNvPr id="0" name="Chart 1"/>
        <xdr:cNvGraphicFramePr/>
      </xdr:nvGraphicFramePr>
      <xdr:xfrm>
        <a:off x="141120" y="97164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74"/>
    <col collapsed="false" customWidth="true" hidden="false" outlineLevel="0" max="4" min="4" style="1" width="2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3" customFormat="false" ht="13.5" hidden="false" customHeight="true" outlineLevel="0" collapsed="false">
      <c r="A3" s="4" t="s">
        <v>2</v>
      </c>
      <c r="B3" s="4"/>
      <c r="C3" s="4"/>
    </row>
    <row r="5" customFormat="false" ht="21.75" hidden="false" customHeight="true" outlineLevel="0" collapsed="false">
      <c r="B5" s="5" t="s">
        <v>3</v>
      </c>
      <c r="C5" s="5"/>
    </row>
    <row r="6" customFormat="false" ht="55.5" hidden="false" customHeight="true" outlineLevel="0" collapsed="false">
      <c r="B6" s="6" t="s">
        <v>4</v>
      </c>
      <c r="C6" s="6"/>
    </row>
    <row r="7" customFormat="false" ht="21.75" hidden="false" customHeight="true" outlineLevel="0" collapsed="false">
      <c r="B7" s="5" t="s">
        <v>5</v>
      </c>
      <c r="C7" s="5"/>
    </row>
    <row r="8" customFormat="false" ht="27.75" hidden="false" customHeight="true" outlineLevel="0" collapsed="false">
      <c r="B8" s="7" t="s">
        <v>6</v>
      </c>
      <c r="C8" s="8" t="s">
        <v>7</v>
      </c>
    </row>
    <row r="9" customFormat="false" ht="27.75" hidden="false" customHeight="true" outlineLevel="0" collapsed="false">
      <c r="B9" s="7" t="s">
        <v>8</v>
      </c>
      <c r="C9" s="8" t="s">
        <v>9</v>
      </c>
    </row>
    <row r="10" customFormat="false" ht="27.75" hidden="false" customHeight="true" outlineLevel="0" collapsed="false">
      <c r="B10" s="7" t="s">
        <v>10</v>
      </c>
      <c r="C10" s="8" t="s">
        <v>11</v>
      </c>
    </row>
    <row r="11" customFormat="false" ht="27.75" hidden="false" customHeight="true" outlineLevel="0" collapsed="false">
      <c r="B11" s="7" t="s">
        <v>12</v>
      </c>
      <c r="C11" s="8" t="s">
        <v>13</v>
      </c>
    </row>
    <row r="12" customFormat="false" ht="55.5" hidden="false" customHeight="true" outlineLevel="0" collapsed="false">
      <c r="B12" s="6" t="s">
        <v>14</v>
      </c>
      <c r="C12" s="6"/>
    </row>
    <row r="13" customFormat="false" ht="21.75" hidden="false" customHeight="true" outlineLevel="0" collapsed="false">
      <c r="B13" s="5" t="s">
        <v>15</v>
      </c>
      <c r="C13" s="5"/>
    </row>
    <row r="14" customFormat="false" ht="27.75" hidden="false" customHeight="true" outlineLevel="0" collapsed="false">
      <c r="B14" s="7" t="s">
        <v>16</v>
      </c>
      <c r="C14" s="8" t="s">
        <v>17</v>
      </c>
    </row>
    <row r="15" customFormat="false" ht="27.75" hidden="false" customHeight="true" outlineLevel="0" collapsed="false">
      <c r="B15" s="7" t="s">
        <v>18</v>
      </c>
      <c r="C15" s="8" t="s">
        <v>19</v>
      </c>
    </row>
    <row r="16" customFormat="false" ht="27.75" hidden="false" customHeight="true" outlineLevel="0" collapsed="false">
      <c r="B16" s="7" t="s">
        <v>20</v>
      </c>
      <c r="C16" s="8" t="s">
        <v>21</v>
      </c>
    </row>
    <row r="17" customFormat="false" ht="27.75" hidden="false" customHeight="true" outlineLevel="0" collapsed="false">
      <c r="B17" s="7" t="s">
        <v>22</v>
      </c>
      <c r="C17" s="8" t="s">
        <v>23</v>
      </c>
    </row>
    <row r="18" customFormat="false" ht="21.75" hidden="false" customHeight="true" outlineLevel="0" collapsed="false">
      <c r="B18" s="5" t="s">
        <v>24</v>
      </c>
      <c r="C18" s="5"/>
    </row>
    <row r="19" customFormat="false" ht="55.5" hidden="false" customHeight="true" outlineLevel="0" collapsed="false">
      <c r="B19" s="6" t="s">
        <v>25</v>
      </c>
      <c r="C19" s="6"/>
    </row>
    <row r="20" customFormat="false" ht="21.75" hidden="false" customHeight="true" outlineLevel="0" collapsed="false">
      <c r="B20" s="5" t="s">
        <v>26</v>
      </c>
      <c r="C20" s="5"/>
    </row>
    <row r="21" customFormat="false" ht="25.5" hidden="false" customHeight="true" outlineLevel="0" collapsed="false">
      <c r="B21" s="6" t="s">
        <v>27</v>
      </c>
      <c r="C21" s="6"/>
    </row>
    <row r="22" customFormat="false" ht="25.5" hidden="false" customHeight="true" outlineLevel="0" collapsed="false">
      <c r="B22" s="6" t="s">
        <v>28</v>
      </c>
      <c r="C22" s="6"/>
    </row>
    <row r="23" customFormat="false" ht="25.5" hidden="false" customHeight="true" outlineLevel="0" collapsed="false">
      <c r="B23" s="6" t="s">
        <v>29</v>
      </c>
      <c r="C23" s="6"/>
    </row>
    <row r="25" customFormat="false" ht="15" hidden="false" customHeight="false" outlineLevel="0" collapsed="false">
      <c r="A25" s="9" t="s">
        <v>30</v>
      </c>
      <c r="B25" s="9"/>
      <c r="C25" s="9"/>
    </row>
  </sheetData>
  <mergeCells count="15">
    <mergeCell ref="A1:C1"/>
    <mergeCell ref="A2:C2"/>
    <mergeCell ref="A3:C3"/>
    <mergeCell ref="B5:C5"/>
    <mergeCell ref="B6:C6"/>
    <mergeCell ref="B7:C7"/>
    <mergeCell ref="B12:C12"/>
    <mergeCell ref="B13:C13"/>
    <mergeCell ref="B18:C18"/>
    <mergeCell ref="B19:C19"/>
    <mergeCell ref="B20:C20"/>
    <mergeCell ref="B21:C21"/>
    <mergeCell ref="B22:C22"/>
    <mergeCell ref="B23:C23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8" min="7" style="1" width="11"/>
    <col collapsed="false" customWidth="true" hidden="false" outlineLevel="0" max="9" min="9" style="1" width="30"/>
    <col collapsed="false" customWidth="true" hidden="false" outlineLevel="0" max="10" min="10" style="1" width="34"/>
    <col collapsed="false" customWidth="true" hidden="false" outlineLevel="0" max="11" min="11" style="1" width="10"/>
    <col collapsed="false" customWidth="true" hidden="false" outlineLevel="0" max="12" min="12" style="1" width="15"/>
  </cols>
  <sheetData>
    <row r="1" customFormat="false" ht="30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customFormat="false" ht="30" hidden="false" customHeight="true" outlineLevel="0" collapsed="false">
      <c r="A5" s="10" t="s">
        <v>33</v>
      </c>
      <c r="B5" s="10" t="s">
        <v>34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42</v>
      </c>
      <c r="K5" s="10" t="s">
        <v>43</v>
      </c>
      <c r="L5" s="10" t="s">
        <v>44</v>
      </c>
    </row>
    <row r="6" customFormat="false" ht="33.75" hidden="false" customHeight="true" outlineLevel="0" collapsed="false">
      <c r="A6" s="11" t="n">
        <v>1</v>
      </c>
      <c r="B6" s="12" t="s">
        <v>45</v>
      </c>
      <c r="C6" s="12" t="s">
        <v>46</v>
      </c>
      <c r="D6" s="13" t="n">
        <v>5</v>
      </c>
      <c r="E6" s="13" t="n">
        <v>4</v>
      </c>
      <c r="F6" s="14" t="str">
        <f aca="false">IF(OR(D6="",E6=""),"",IF(AND(D6&gt;=3,E6&gt;=3),"Manage closely",IF(AND(D6&gt;=3,E6&lt;3),"Keep satisfied",IF(AND(D6&lt;3,E6&gt;=3),"Keep informed","Monitor"))))</f>
        <v>Manage closely</v>
      </c>
      <c r="G6" s="12" t="s">
        <v>47</v>
      </c>
      <c r="H6" s="12" t="s">
        <v>48</v>
      </c>
      <c r="I6" s="12" t="s">
        <v>49</v>
      </c>
      <c r="J6" s="12" t="s">
        <v>50</v>
      </c>
      <c r="K6" s="12" t="s">
        <v>51</v>
      </c>
      <c r="L6" s="12" t="s">
        <v>52</v>
      </c>
    </row>
    <row r="7" customFormat="false" ht="33.75" hidden="false" customHeight="true" outlineLevel="0" collapsed="false">
      <c r="A7" s="11" t="n">
        <v>2</v>
      </c>
      <c r="B7" s="12" t="s">
        <v>53</v>
      </c>
      <c r="C7" s="12" t="s">
        <v>46</v>
      </c>
      <c r="D7" s="13" t="n">
        <v>5</v>
      </c>
      <c r="E7" s="13" t="n">
        <v>5</v>
      </c>
      <c r="F7" s="14" t="str">
        <f aca="false">IF(OR(D7="",E7=""),"",IF(AND(D7&gt;=3,E7&gt;=3),"Manage closely",IF(AND(D7&gt;=3,E7&lt;3),"Keep satisfied",IF(AND(D7&lt;3,E7&gt;=3),"Keep informed","Monitor"))))</f>
        <v>Manage closely</v>
      </c>
      <c r="G7" s="12" t="s">
        <v>54</v>
      </c>
      <c r="H7" s="12" t="s">
        <v>48</v>
      </c>
      <c r="I7" s="12" t="s">
        <v>55</v>
      </c>
      <c r="J7" s="12" t="s">
        <v>56</v>
      </c>
      <c r="K7" s="12" t="s">
        <v>51</v>
      </c>
      <c r="L7" s="12" t="s">
        <v>52</v>
      </c>
    </row>
    <row r="8" customFormat="false" ht="33.75" hidden="false" customHeight="true" outlineLevel="0" collapsed="false">
      <c r="A8" s="11" t="n">
        <v>3</v>
      </c>
      <c r="B8" s="12" t="s">
        <v>57</v>
      </c>
      <c r="C8" s="12" t="s">
        <v>58</v>
      </c>
      <c r="D8" s="13" t="n">
        <v>4</v>
      </c>
      <c r="E8" s="13" t="n">
        <v>5</v>
      </c>
      <c r="F8" s="14" t="str">
        <f aca="false">IF(OR(D8="",E8=""),"",IF(AND(D8&gt;=3,E8&gt;=3),"Manage closely",IF(AND(D8&gt;=3,E8&lt;3),"Keep satisfied",IF(AND(D8&lt;3,E8&gt;=3),"Keep informed","Monitor"))))</f>
        <v>Manage closely</v>
      </c>
      <c r="G8" s="12" t="s">
        <v>47</v>
      </c>
      <c r="H8" s="12" t="s">
        <v>48</v>
      </c>
      <c r="I8" s="12" t="s">
        <v>59</v>
      </c>
      <c r="J8" s="12" t="s">
        <v>60</v>
      </c>
      <c r="K8" s="12" t="s">
        <v>51</v>
      </c>
      <c r="L8" s="12" t="s">
        <v>61</v>
      </c>
    </row>
    <row r="9" customFormat="false" ht="33.75" hidden="false" customHeight="true" outlineLevel="0" collapsed="false">
      <c r="A9" s="11" t="n">
        <v>4</v>
      </c>
      <c r="B9" s="12" t="s">
        <v>62</v>
      </c>
      <c r="C9" s="12" t="s">
        <v>63</v>
      </c>
      <c r="D9" s="13" t="n">
        <v>4</v>
      </c>
      <c r="E9" s="13" t="n">
        <v>5</v>
      </c>
      <c r="F9" s="14" t="str">
        <f aca="false">IF(OR(D9="",E9=""),"",IF(AND(D9&gt;=3,E9&gt;=3),"Manage closely",IF(AND(D9&gt;=3,E9&lt;3),"Keep satisfied",IF(AND(D9&lt;3,E9&gt;=3),"Keep informed","Monitor"))))</f>
        <v>Manage closely</v>
      </c>
      <c r="G9" s="12" t="s">
        <v>48</v>
      </c>
      <c r="H9" s="12" t="s">
        <v>48</v>
      </c>
      <c r="I9" s="12" t="s">
        <v>64</v>
      </c>
      <c r="J9" s="12" t="s">
        <v>65</v>
      </c>
      <c r="K9" s="12" t="s">
        <v>51</v>
      </c>
      <c r="L9" s="12" t="s">
        <v>61</v>
      </c>
    </row>
    <row r="10" customFormat="false" ht="33.75" hidden="false" customHeight="true" outlineLevel="0" collapsed="false">
      <c r="A10" s="11" t="n">
        <v>5</v>
      </c>
      <c r="B10" s="12" t="s">
        <v>66</v>
      </c>
      <c r="C10" s="12" t="s">
        <v>63</v>
      </c>
      <c r="D10" s="13" t="n">
        <v>3</v>
      </c>
      <c r="E10" s="13" t="n">
        <v>5</v>
      </c>
      <c r="F10" s="14" t="str">
        <f aca="false">IF(OR(D10="",E10=""),"",IF(AND(D10&gt;=3,E10&gt;=3),"Manage closely",IF(AND(D10&gt;=3,E10&lt;3),"Keep satisfied",IF(AND(D10&lt;3,E10&gt;=3),"Keep informed","Monitor"))))</f>
        <v>Manage closely</v>
      </c>
      <c r="G10" s="12" t="s">
        <v>48</v>
      </c>
      <c r="H10" s="12" t="s">
        <v>48</v>
      </c>
      <c r="I10" s="12" t="s">
        <v>67</v>
      </c>
      <c r="J10" s="12" t="s">
        <v>68</v>
      </c>
      <c r="K10" s="12" t="s">
        <v>51</v>
      </c>
      <c r="L10" s="12" t="s">
        <v>69</v>
      </c>
    </row>
    <row r="11" customFormat="false" ht="33.75" hidden="false" customHeight="true" outlineLevel="0" collapsed="false">
      <c r="A11" s="11" t="n">
        <v>6</v>
      </c>
      <c r="B11" s="12" t="s">
        <v>70</v>
      </c>
      <c r="C11" s="12" t="s">
        <v>71</v>
      </c>
      <c r="D11" s="13" t="n">
        <v>4</v>
      </c>
      <c r="E11" s="13" t="n">
        <v>4</v>
      </c>
      <c r="F11" s="14" t="str">
        <f aca="false">IF(OR(D11="",E11=""),"",IF(AND(D11&gt;=3,E11&gt;=3),"Manage closely",IF(AND(D11&gt;=3,E11&lt;3),"Keep satisfied",IF(AND(D11&lt;3,E11&gt;=3),"Keep informed","Monitor"))))</f>
        <v>Manage closely</v>
      </c>
      <c r="G11" s="12" t="s">
        <v>72</v>
      </c>
      <c r="H11" s="12" t="s">
        <v>47</v>
      </c>
      <c r="I11" s="12" t="s">
        <v>73</v>
      </c>
      <c r="J11" s="12" t="s">
        <v>74</v>
      </c>
      <c r="K11" s="12" t="s">
        <v>51</v>
      </c>
      <c r="L11" s="12" t="s">
        <v>75</v>
      </c>
    </row>
    <row r="12" customFormat="false" ht="33.75" hidden="false" customHeight="true" outlineLevel="0" collapsed="false">
      <c r="A12" s="11" t="n">
        <v>7</v>
      </c>
      <c r="B12" s="12" t="s">
        <v>76</v>
      </c>
      <c r="C12" s="12" t="s">
        <v>46</v>
      </c>
      <c r="D12" s="13" t="n">
        <v>5</v>
      </c>
      <c r="E12" s="13" t="n">
        <v>2</v>
      </c>
      <c r="F12" s="14" t="str">
        <f aca="false">IF(OR(D12="",E12=""),"",IF(AND(D12&gt;=3,E12&gt;=3),"Manage closely",IF(AND(D12&gt;=3,E12&lt;3),"Keep satisfied",IF(AND(D12&lt;3,E12&gt;=3),"Keep informed","Monitor"))))</f>
        <v>Keep satisfied</v>
      </c>
      <c r="G12" s="12" t="s">
        <v>54</v>
      </c>
      <c r="H12" s="12" t="s">
        <v>47</v>
      </c>
      <c r="I12" s="12" t="s">
        <v>77</v>
      </c>
      <c r="J12" s="12" t="s">
        <v>78</v>
      </c>
      <c r="K12" s="12" t="s">
        <v>45</v>
      </c>
      <c r="L12" s="12" t="s">
        <v>79</v>
      </c>
    </row>
    <row r="13" customFormat="false" ht="33.75" hidden="false" customHeight="true" outlineLevel="0" collapsed="false">
      <c r="A13" s="11" t="n">
        <v>8</v>
      </c>
      <c r="B13" s="12" t="s">
        <v>80</v>
      </c>
      <c r="C13" s="12" t="s">
        <v>71</v>
      </c>
      <c r="D13" s="13" t="n">
        <v>3</v>
      </c>
      <c r="E13" s="13" t="n">
        <v>2</v>
      </c>
      <c r="F13" s="14" t="str">
        <f aca="false">IF(OR(D13="",E13=""),"",IF(AND(D13&gt;=3,E13&gt;=3),"Manage closely",IF(AND(D13&gt;=3,E13&lt;3),"Keep satisfied",IF(AND(D13&lt;3,E13&gt;=3),"Keep informed","Monitor"))))</f>
        <v>Keep satisfied</v>
      </c>
      <c r="G13" s="12" t="s">
        <v>54</v>
      </c>
      <c r="H13" s="12" t="s">
        <v>54</v>
      </c>
      <c r="I13" s="12" t="s">
        <v>81</v>
      </c>
      <c r="J13" s="12" t="s">
        <v>82</v>
      </c>
      <c r="K13" s="12" t="s">
        <v>51</v>
      </c>
      <c r="L13" s="12" t="s">
        <v>83</v>
      </c>
    </row>
    <row r="14" customFormat="false" ht="33.75" hidden="false" customHeight="true" outlineLevel="0" collapsed="false">
      <c r="A14" s="11" t="n">
        <v>9</v>
      </c>
      <c r="B14" s="12" t="s">
        <v>84</v>
      </c>
      <c r="C14" s="12" t="s">
        <v>85</v>
      </c>
      <c r="D14" s="13" t="n">
        <v>4</v>
      </c>
      <c r="E14" s="13" t="n">
        <v>2</v>
      </c>
      <c r="F14" s="14" t="str">
        <f aca="false">IF(OR(D14="",E14=""),"",IF(AND(D14&gt;=3,E14&gt;=3),"Manage closely",IF(AND(D14&gt;=3,E14&lt;3),"Keep satisfied",IF(AND(D14&lt;3,E14&gt;=3),"Keep informed","Monitor"))))</f>
        <v>Keep satisfied</v>
      </c>
      <c r="G14" s="12" t="s">
        <v>47</v>
      </c>
      <c r="H14" s="12" t="s">
        <v>47</v>
      </c>
      <c r="I14" s="12" t="s">
        <v>86</v>
      </c>
      <c r="J14" s="12" t="s">
        <v>87</v>
      </c>
      <c r="K14" s="12" t="s">
        <v>88</v>
      </c>
      <c r="L14" s="12" t="s">
        <v>89</v>
      </c>
    </row>
    <row r="15" customFormat="false" ht="33.75" hidden="false" customHeight="true" outlineLevel="0" collapsed="false">
      <c r="A15" s="11" t="n">
        <v>10</v>
      </c>
      <c r="B15" s="12" t="s">
        <v>90</v>
      </c>
      <c r="C15" s="12" t="s">
        <v>85</v>
      </c>
      <c r="D15" s="13" t="n">
        <v>3</v>
      </c>
      <c r="E15" s="13" t="n">
        <v>5</v>
      </c>
      <c r="F15" s="14" t="str">
        <f aca="false">IF(OR(D15="",E15=""),"",IF(AND(D15&gt;=3,E15&gt;=3),"Manage closely",IF(AND(D15&gt;=3,E15&lt;3),"Keep satisfied",IF(AND(D15&lt;3,E15&gt;=3),"Keep informed","Monitor"))))</f>
        <v>Manage closely</v>
      </c>
      <c r="G15" s="12" t="s">
        <v>48</v>
      </c>
      <c r="H15" s="12" t="s">
        <v>48</v>
      </c>
      <c r="I15" s="12" t="s">
        <v>91</v>
      </c>
      <c r="J15" s="12" t="s">
        <v>92</v>
      </c>
      <c r="K15" s="12" t="s">
        <v>51</v>
      </c>
      <c r="L15" s="12" t="s">
        <v>93</v>
      </c>
    </row>
    <row r="16" customFormat="false" ht="33.75" hidden="false" customHeight="true" outlineLevel="0" collapsed="false">
      <c r="A16" s="11" t="n">
        <v>11</v>
      </c>
      <c r="B16" s="12" t="s">
        <v>94</v>
      </c>
      <c r="C16" s="12" t="s">
        <v>95</v>
      </c>
      <c r="D16" s="13" t="n">
        <v>2</v>
      </c>
      <c r="E16" s="13" t="n">
        <v>4</v>
      </c>
      <c r="F16" s="14" t="str">
        <f aca="false">IF(OR(D16="",E16=""),"",IF(AND(D16&gt;=3,E16&gt;=3),"Manage closely",IF(AND(D16&gt;=3,E16&lt;3),"Keep satisfied",IF(AND(D16&lt;3,E16&gt;=3),"Keep informed","Monitor"))))</f>
        <v>Keep informed</v>
      </c>
      <c r="G16" s="12" t="s">
        <v>47</v>
      </c>
      <c r="H16" s="12" t="s">
        <v>47</v>
      </c>
      <c r="I16" s="12" t="s">
        <v>96</v>
      </c>
      <c r="J16" s="12" t="s">
        <v>97</v>
      </c>
      <c r="K16" s="12" t="s">
        <v>51</v>
      </c>
      <c r="L16" s="12" t="s">
        <v>98</v>
      </c>
    </row>
    <row r="17" customFormat="false" ht="33.75" hidden="false" customHeight="true" outlineLevel="0" collapsed="false">
      <c r="A17" s="11" t="n">
        <v>12</v>
      </c>
      <c r="B17" s="12" t="s">
        <v>99</v>
      </c>
      <c r="C17" s="12" t="s">
        <v>95</v>
      </c>
      <c r="D17" s="13" t="n">
        <v>2</v>
      </c>
      <c r="E17" s="13" t="n">
        <v>3</v>
      </c>
      <c r="F17" s="14" t="str">
        <f aca="false">IF(OR(D17="",E17=""),"",IF(AND(D17&gt;=3,E17&gt;=3),"Manage closely",IF(AND(D17&gt;=3,E17&lt;3),"Keep satisfied",IF(AND(D17&lt;3,E17&gt;=3),"Keep informed","Monitor"))))</f>
        <v>Keep informed</v>
      </c>
      <c r="G17" s="12" t="s">
        <v>54</v>
      </c>
      <c r="H17" s="12" t="s">
        <v>47</v>
      </c>
      <c r="I17" s="12" t="s">
        <v>100</v>
      </c>
      <c r="J17" s="12" t="s">
        <v>101</v>
      </c>
      <c r="K17" s="12" t="s">
        <v>51</v>
      </c>
      <c r="L17" s="12" t="s">
        <v>89</v>
      </c>
    </row>
    <row r="18" customFormat="false" ht="33.75" hidden="false" customHeight="true" outlineLevel="0" collapsed="false">
      <c r="A18" s="11" t="n">
        <v>13</v>
      </c>
      <c r="B18" s="12" t="s">
        <v>102</v>
      </c>
      <c r="C18" s="12" t="s">
        <v>63</v>
      </c>
      <c r="D18" s="13" t="n">
        <v>2</v>
      </c>
      <c r="E18" s="13" t="n">
        <v>4</v>
      </c>
      <c r="F18" s="14" t="str">
        <f aca="false">IF(OR(D18="",E18=""),"",IF(AND(D18&gt;=3,E18&gt;=3),"Manage closely",IF(AND(D18&gt;=3,E18&lt;3),"Keep satisfied",IF(AND(D18&lt;3,E18&gt;=3),"Keep informed","Monitor"))))</f>
        <v>Keep informed</v>
      </c>
      <c r="G18" s="12" t="s">
        <v>54</v>
      </c>
      <c r="H18" s="12" t="s">
        <v>47</v>
      </c>
      <c r="I18" s="12" t="s">
        <v>103</v>
      </c>
      <c r="J18" s="12" t="s">
        <v>104</v>
      </c>
      <c r="K18" s="12" t="s">
        <v>105</v>
      </c>
      <c r="L18" s="12" t="s">
        <v>89</v>
      </c>
    </row>
    <row r="19" customFormat="false" ht="33.75" hidden="false" customHeight="true" outlineLevel="0" collapsed="false">
      <c r="A19" s="11" t="n">
        <v>14</v>
      </c>
      <c r="B19" s="12" t="s">
        <v>106</v>
      </c>
      <c r="C19" s="12" t="s">
        <v>63</v>
      </c>
      <c r="D19" s="13" t="n">
        <v>2</v>
      </c>
      <c r="E19" s="13" t="n">
        <v>2</v>
      </c>
      <c r="F19" s="14" t="str">
        <f aca="false">IF(OR(D19="",E19=""),"",IF(AND(D19&gt;=3,E19&gt;=3),"Manage closely",IF(AND(D19&gt;=3,E19&lt;3),"Keep satisfied",IF(AND(D19&lt;3,E19&gt;=3),"Keep informed","Monitor"))))</f>
        <v>Monitor</v>
      </c>
      <c r="G19" s="12" t="s">
        <v>54</v>
      </c>
      <c r="H19" s="12" t="s">
        <v>54</v>
      </c>
      <c r="I19" s="12" t="s">
        <v>107</v>
      </c>
      <c r="J19" s="12" t="s">
        <v>108</v>
      </c>
      <c r="K19" s="12" t="s">
        <v>109</v>
      </c>
      <c r="L19" s="12" t="s">
        <v>110</v>
      </c>
    </row>
    <row r="20" customFormat="false" ht="33.75" hidden="false" customHeight="true" outlineLevel="0" collapsed="false">
      <c r="A20" s="11" t="n">
        <v>15</v>
      </c>
      <c r="B20" s="12" t="s">
        <v>111</v>
      </c>
      <c r="C20" s="12" t="s">
        <v>85</v>
      </c>
      <c r="D20" s="13" t="n">
        <v>4</v>
      </c>
      <c r="E20" s="13" t="n">
        <v>1</v>
      </c>
      <c r="F20" s="14" t="str">
        <f aca="false">IF(OR(D20="",E20=""),"",IF(AND(D20&gt;=3,E20&gt;=3),"Manage closely",IF(AND(D20&gt;=3,E20&lt;3),"Keep satisfied",IF(AND(D20&lt;3,E20&gt;=3),"Keep informed","Monitor"))))</f>
        <v>Keep satisfied</v>
      </c>
      <c r="G20" s="12" t="s">
        <v>54</v>
      </c>
      <c r="H20" s="12" t="s">
        <v>54</v>
      </c>
      <c r="I20" s="12" t="s">
        <v>112</v>
      </c>
      <c r="J20" s="12" t="s">
        <v>113</v>
      </c>
      <c r="K20" s="12" t="s">
        <v>114</v>
      </c>
      <c r="L20" s="12" t="s">
        <v>12</v>
      </c>
    </row>
    <row r="22" customFormat="false" ht="15" hidden="false" customHeight="false" outlineLevel="0" collapsed="false">
      <c r="A22" s="9" t="s">
        <v>30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</sheetData>
  <mergeCells count="4">
    <mergeCell ref="A1:L1"/>
    <mergeCell ref="A2:L2"/>
    <mergeCell ref="A3:L3"/>
    <mergeCell ref="A22:L22"/>
  </mergeCells>
  <conditionalFormatting sqref="F6:F20">
    <cfRule type="expression" priority="2" aboveAverage="0" equalAverage="0" bottom="0" percent="0" rank="0" text="" dxfId="0">
      <formula>$F6="Manage closely"</formula>
    </cfRule>
    <cfRule type="expression" priority="3" aboveAverage="0" equalAverage="0" bottom="0" percent="0" rank="0" text="" dxfId="1">
      <formula>$F6="Keep satisfied"</formula>
    </cfRule>
    <cfRule type="expression" priority="4" aboveAverage="0" equalAverage="0" bottom="0" percent="0" rank="0" text="" dxfId="2">
      <formula>$F6="Keep informed"</formula>
    </cfRule>
    <cfRule type="expression" priority="5" aboveAverage="0" equalAverage="0" bottom="0" percent="0" rank="0" text="" dxfId="3">
      <formula>$F6="Monitor"</formula>
    </cfRule>
  </conditionalFormatting>
  <dataValidations count="2">
    <dataValidation allowBlank="true" errorStyle="stop" operator="between" showDropDown="false" showErrorMessage="false" showInputMessage="false" sqref="D6:E20" type="list">
      <formula1>"1,2,3,4,5"</formula1>
      <formula2>0</formula2>
    </dataValidation>
    <dataValidation allowBlank="true" errorStyle="stop" operator="between" showDropDown="false" showErrorMessage="false" showInputMessage="false" sqref="G6:H20" type="list">
      <formula1>"Champion,Supporter,Neutral,Skeptic,Blocker"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12"/>
    <col collapsed="false" customWidth="true" hidden="false" outlineLevel="0" max="7" min="7" style="1" width="2"/>
    <col collapsed="false" customWidth="true" hidden="false" outlineLevel="0" max="8" min="8" style="1" width="16"/>
    <col collapsed="false" customWidth="true" hidden="false" outlineLevel="0" max="9" min="9" style="1" width="30"/>
    <col collapsed="false" customWidth="true" hidden="false" outlineLevel="0" max="10" min="10" style="1" width="12"/>
  </cols>
  <sheetData>
    <row r="1" customFormat="false" ht="30" hidden="false" customHeight="true" outlineLevel="0" collapsed="false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116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28" customFormat="false" ht="15" hidden="false" customHeight="false" outlineLevel="0" collapsed="false">
      <c r="B28" s="15" t="s">
        <v>117</v>
      </c>
      <c r="H28" s="15" t="s">
        <v>118</v>
      </c>
    </row>
    <row r="29" customFormat="false" ht="15" hidden="false" customHeight="true" outlineLevel="0" collapsed="false">
      <c r="B29" s="16" t="s">
        <v>119</v>
      </c>
      <c r="C29" s="17" t="s">
        <v>45</v>
      </c>
      <c r="D29" s="17"/>
      <c r="E29" s="17"/>
      <c r="F29" s="17"/>
      <c r="H29" s="18" t="s">
        <v>6</v>
      </c>
      <c r="I29" s="19" t="s">
        <v>120</v>
      </c>
      <c r="J29" s="19"/>
    </row>
    <row r="30" customFormat="false" ht="22.35" hidden="false" customHeight="true" outlineLevel="0" collapsed="false">
      <c r="B30" s="16" t="s">
        <v>121</v>
      </c>
      <c r="C30" s="17" t="s">
        <v>53</v>
      </c>
      <c r="D30" s="17"/>
      <c r="E30" s="17"/>
      <c r="F30" s="17"/>
      <c r="H30" s="18" t="s">
        <v>8</v>
      </c>
      <c r="I30" s="19" t="s">
        <v>122</v>
      </c>
      <c r="J30" s="19"/>
    </row>
    <row r="31" customFormat="false" ht="22.35" hidden="false" customHeight="true" outlineLevel="0" collapsed="false">
      <c r="B31" s="16" t="s">
        <v>123</v>
      </c>
      <c r="C31" s="17" t="s">
        <v>57</v>
      </c>
      <c r="D31" s="17"/>
      <c r="E31" s="17"/>
      <c r="F31" s="17"/>
      <c r="H31" s="18" t="s">
        <v>10</v>
      </c>
      <c r="I31" s="19" t="s">
        <v>124</v>
      </c>
      <c r="J31" s="19"/>
    </row>
    <row r="32" customFormat="false" ht="15" hidden="false" customHeight="true" outlineLevel="0" collapsed="false">
      <c r="B32" s="16" t="s">
        <v>125</v>
      </c>
      <c r="C32" s="17" t="s">
        <v>62</v>
      </c>
      <c r="D32" s="17"/>
      <c r="E32" s="17"/>
      <c r="F32" s="17"/>
      <c r="H32" s="18" t="s">
        <v>12</v>
      </c>
      <c r="I32" s="19" t="s">
        <v>126</v>
      </c>
      <c r="J32" s="19"/>
    </row>
    <row r="33" customFormat="false" ht="15" hidden="false" customHeight="false" outlineLevel="0" collapsed="false">
      <c r="B33" s="16" t="s">
        <v>127</v>
      </c>
      <c r="C33" s="17" t="s">
        <v>66</v>
      </c>
      <c r="D33" s="17"/>
      <c r="E33" s="17"/>
      <c r="F33" s="17"/>
    </row>
    <row r="34" customFormat="false" ht="15" hidden="false" customHeight="false" outlineLevel="0" collapsed="false">
      <c r="B34" s="16" t="s">
        <v>128</v>
      </c>
      <c r="C34" s="17" t="s">
        <v>70</v>
      </c>
      <c r="D34" s="17"/>
      <c r="E34" s="17"/>
      <c r="F34" s="17"/>
    </row>
    <row r="35" customFormat="false" ht="15" hidden="false" customHeight="false" outlineLevel="0" collapsed="false">
      <c r="B35" s="16" t="s">
        <v>129</v>
      </c>
      <c r="C35" s="17" t="s">
        <v>76</v>
      </c>
      <c r="D35" s="17"/>
      <c r="E35" s="17"/>
      <c r="F35" s="17"/>
    </row>
    <row r="36" customFormat="false" ht="15" hidden="false" customHeight="false" outlineLevel="0" collapsed="false">
      <c r="B36" s="16" t="s">
        <v>130</v>
      </c>
      <c r="C36" s="17" t="s">
        <v>80</v>
      </c>
      <c r="D36" s="17"/>
      <c r="E36" s="17"/>
      <c r="F36" s="17"/>
    </row>
    <row r="37" customFormat="false" ht="15" hidden="false" customHeight="false" outlineLevel="0" collapsed="false">
      <c r="B37" s="16" t="s">
        <v>131</v>
      </c>
      <c r="C37" s="17" t="s">
        <v>84</v>
      </c>
      <c r="D37" s="17"/>
      <c r="E37" s="17"/>
      <c r="F37" s="17"/>
    </row>
    <row r="38" customFormat="false" ht="15" hidden="false" customHeight="false" outlineLevel="0" collapsed="false">
      <c r="B38" s="16" t="s">
        <v>132</v>
      </c>
      <c r="C38" s="17" t="s">
        <v>90</v>
      </c>
      <c r="D38" s="17"/>
      <c r="E38" s="17"/>
      <c r="F38" s="17"/>
    </row>
    <row r="39" customFormat="false" ht="15" hidden="false" customHeight="false" outlineLevel="0" collapsed="false">
      <c r="B39" s="16" t="s">
        <v>133</v>
      </c>
      <c r="C39" s="17" t="s">
        <v>94</v>
      </c>
      <c r="D39" s="17"/>
      <c r="E39" s="17"/>
      <c r="F39" s="17"/>
    </row>
    <row r="40" customFormat="false" ht="15" hidden="false" customHeight="false" outlineLevel="0" collapsed="false">
      <c r="B40" s="16" t="s">
        <v>134</v>
      </c>
      <c r="C40" s="17" t="s">
        <v>99</v>
      </c>
      <c r="D40" s="17"/>
      <c r="E40" s="17"/>
      <c r="F40" s="17"/>
    </row>
    <row r="41" customFormat="false" ht="15" hidden="false" customHeight="false" outlineLevel="0" collapsed="false">
      <c r="B41" s="16" t="s">
        <v>135</v>
      </c>
      <c r="C41" s="17" t="s">
        <v>102</v>
      </c>
      <c r="D41" s="17"/>
      <c r="E41" s="17"/>
      <c r="F41" s="17"/>
    </row>
    <row r="42" customFormat="false" ht="15" hidden="false" customHeight="false" outlineLevel="0" collapsed="false">
      <c r="B42" s="16" t="s">
        <v>136</v>
      </c>
      <c r="C42" s="17" t="s">
        <v>106</v>
      </c>
      <c r="D42" s="17"/>
      <c r="E42" s="17"/>
      <c r="F42" s="17"/>
    </row>
    <row r="43" customFormat="false" ht="15" hidden="false" customHeight="false" outlineLevel="0" collapsed="false">
      <c r="B43" s="16" t="s">
        <v>137</v>
      </c>
      <c r="C43" s="17" t="s">
        <v>111</v>
      </c>
      <c r="D43" s="17"/>
      <c r="E43" s="17"/>
      <c r="F43" s="17"/>
    </row>
    <row r="45" customFormat="false" ht="15" hidden="false" customHeight="false" outlineLevel="0" collapsed="false">
      <c r="A45" s="9" t="s">
        <v>30</v>
      </c>
      <c r="B45" s="9"/>
      <c r="C45" s="9"/>
      <c r="D45" s="9"/>
      <c r="E45" s="9"/>
      <c r="F45" s="9"/>
      <c r="G45" s="9"/>
      <c r="H45" s="9"/>
      <c r="I45" s="9"/>
      <c r="J45" s="9"/>
    </row>
  </sheetData>
  <mergeCells count="23">
    <mergeCell ref="A1:J1"/>
    <mergeCell ref="A2:J2"/>
    <mergeCell ref="A3:J3"/>
    <mergeCell ref="C29:F29"/>
    <mergeCell ref="I29:J29"/>
    <mergeCell ref="C30:F30"/>
    <mergeCell ref="I30:J30"/>
    <mergeCell ref="C31:F31"/>
    <mergeCell ref="I31:J31"/>
    <mergeCell ref="C32:F32"/>
    <mergeCell ref="I32:J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A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0" min="2" style="1" width="13"/>
    <col collapsed="false" customWidth="true" hidden="false" outlineLevel="0" max="12" min="12" style="1" width="9"/>
  </cols>
  <sheetData>
    <row r="1" customFormat="false" ht="30" hidden="false" customHeight="true" outlineLevel="0" collapsed="false">
      <c r="A1" s="2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139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5" customFormat="false" ht="30" hidden="false" customHeight="true" outlineLevel="0" collapsed="false">
      <c r="A5" s="20" t="s">
        <v>140</v>
      </c>
      <c r="B5" s="10" t="s">
        <v>141</v>
      </c>
      <c r="C5" s="10" t="s">
        <v>58</v>
      </c>
      <c r="D5" s="10" t="s">
        <v>142</v>
      </c>
      <c r="E5" s="10" t="s">
        <v>143</v>
      </c>
      <c r="F5" s="10" t="s">
        <v>144</v>
      </c>
      <c r="G5" s="10" t="s">
        <v>145</v>
      </c>
      <c r="H5" s="10" t="s">
        <v>146</v>
      </c>
      <c r="I5" s="10" t="s">
        <v>147</v>
      </c>
      <c r="J5" s="10" t="s">
        <v>45</v>
      </c>
      <c r="K5" s="10" t="s">
        <v>148</v>
      </c>
    </row>
    <row r="6" customFormat="false" ht="27.75" hidden="false" customHeight="true" outlineLevel="0" collapsed="false">
      <c r="A6" s="21" t="s">
        <v>149</v>
      </c>
      <c r="B6" s="22" t="s">
        <v>18</v>
      </c>
      <c r="C6" s="22" t="s">
        <v>20</v>
      </c>
      <c r="D6" s="22" t="s">
        <v>20</v>
      </c>
      <c r="E6" s="22" t="s">
        <v>20</v>
      </c>
      <c r="F6" s="22" t="s">
        <v>20</v>
      </c>
      <c r="G6" s="22" t="s">
        <v>20</v>
      </c>
      <c r="H6" s="22" t="s">
        <v>22</v>
      </c>
      <c r="I6" s="22" t="s">
        <v>22</v>
      </c>
      <c r="J6" s="22" t="s">
        <v>22</v>
      </c>
      <c r="K6" s="23" t="n">
        <f aca="false">COUNTIF(B6:J6,"A")</f>
        <v>1</v>
      </c>
    </row>
    <row r="7" customFormat="false" ht="27.75" hidden="false" customHeight="true" outlineLevel="0" collapsed="false">
      <c r="A7" s="21" t="s">
        <v>150</v>
      </c>
      <c r="B7" s="22" t="s">
        <v>20</v>
      </c>
      <c r="C7" s="22" t="s">
        <v>20</v>
      </c>
      <c r="D7" s="22" t="s">
        <v>22</v>
      </c>
      <c r="E7" s="22" t="s">
        <v>22</v>
      </c>
      <c r="F7" s="22" t="s">
        <v>22</v>
      </c>
      <c r="G7" s="22" t="s">
        <v>18</v>
      </c>
      <c r="H7" s="22" t="s">
        <v>20</v>
      </c>
      <c r="I7" s="22" t="s">
        <v>20</v>
      </c>
      <c r="J7" s="22" t="s">
        <v>22</v>
      </c>
      <c r="K7" s="23" t="n">
        <f aca="false">COUNTIF(B7:J7,"A")</f>
        <v>1</v>
      </c>
    </row>
    <row r="8" customFormat="false" ht="27.75" hidden="false" customHeight="true" outlineLevel="0" collapsed="false">
      <c r="A8" s="21" t="s">
        <v>151</v>
      </c>
      <c r="B8" s="22" t="s">
        <v>16</v>
      </c>
      <c r="C8" s="22" t="s">
        <v>22</v>
      </c>
      <c r="D8" s="22" t="s">
        <v>22</v>
      </c>
      <c r="E8" s="22" t="s">
        <v>20</v>
      </c>
      <c r="F8" s="22" t="s">
        <v>20</v>
      </c>
      <c r="G8" s="22" t="s">
        <v>22</v>
      </c>
      <c r="H8" s="22" t="s">
        <v>18</v>
      </c>
      <c r="I8" s="22" t="s">
        <v>22</v>
      </c>
      <c r="J8" s="22" t="s">
        <v>20</v>
      </c>
      <c r="K8" s="23" t="n">
        <f aca="false">COUNTIF(B8:J8,"A")</f>
        <v>1</v>
      </c>
    </row>
    <row r="9" customFormat="false" ht="27.75" hidden="false" customHeight="true" outlineLevel="0" collapsed="false">
      <c r="A9" s="21" t="s">
        <v>152</v>
      </c>
      <c r="B9" s="22" t="s">
        <v>18</v>
      </c>
      <c r="C9" s="22" t="s">
        <v>16</v>
      </c>
      <c r="D9" s="22" t="s">
        <v>20</v>
      </c>
      <c r="E9" s="22" t="s">
        <v>16</v>
      </c>
      <c r="F9" s="22" t="s">
        <v>20</v>
      </c>
      <c r="G9" s="22" t="s">
        <v>22</v>
      </c>
      <c r="H9" s="22" t="s">
        <v>22</v>
      </c>
      <c r="I9" s="22" t="s">
        <v>22</v>
      </c>
      <c r="J9" s="22" t="s">
        <v>22</v>
      </c>
      <c r="K9" s="23" t="n">
        <f aca="false">COUNTIF(B9:J9,"A")</f>
        <v>1</v>
      </c>
    </row>
    <row r="10" customFormat="false" ht="27.75" hidden="false" customHeight="true" outlineLevel="0" collapsed="false">
      <c r="A10" s="21" t="s">
        <v>153</v>
      </c>
      <c r="B10" s="22" t="s">
        <v>16</v>
      </c>
      <c r="C10" s="22" t="s">
        <v>20</v>
      </c>
      <c r="D10" s="22" t="s">
        <v>22</v>
      </c>
      <c r="E10" s="22" t="s">
        <v>20</v>
      </c>
      <c r="F10" s="22" t="s">
        <v>20</v>
      </c>
      <c r="G10" s="22" t="s">
        <v>20</v>
      </c>
      <c r="H10" s="22" t="s">
        <v>20</v>
      </c>
      <c r="I10" s="22" t="s">
        <v>22</v>
      </c>
      <c r="J10" s="22" t="s">
        <v>18</v>
      </c>
      <c r="K10" s="23" t="n">
        <f aca="false">COUNTIF(B10:J10,"A")</f>
        <v>1</v>
      </c>
    </row>
    <row r="11" customFormat="false" ht="27.75" hidden="false" customHeight="true" outlineLevel="0" collapsed="false">
      <c r="A11" s="21" t="s">
        <v>154</v>
      </c>
      <c r="B11" s="22" t="s">
        <v>18</v>
      </c>
      <c r="C11" s="22" t="s">
        <v>22</v>
      </c>
      <c r="D11" s="22" t="s">
        <v>20</v>
      </c>
      <c r="E11" s="22" t="s">
        <v>16</v>
      </c>
      <c r="F11" s="22" t="s">
        <v>20</v>
      </c>
      <c r="G11" s="22" t="s">
        <v>22</v>
      </c>
      <c r="H11" s="22" t="s">
        <v>22</v>
      </c>
      <c r="I11" s="22" t="s">
        <v>20</v>
      </c>
      <c r="J11" s="22" t="s">
        <v>22</v>
      </c>
      <c r="K11" s="23" t="n">
        <f aca="false">COUNTIF(B11:J11,"A")</f>
        <v>1</v>
      </c>
    </row>
    <row r="12" customFormat="false" ht="27.75" hidden="false" customHeight="true" outlineLevel="0" collapsed="false">
      <c r="A12" s="21" t="s">
        <v>155</v>
      </c>
      <c r="B12" s="22" t="s">
        <v>20</v>
      </c>
      <c r="C12" s="22" t="s">
        <v>22</v>
      </c>
      <c r="D12" s="22" t="s">
        <v>22</v>
      </c>
      <c r="E12" s="22" t="s">
        <v>22</v>
      </c>
      <c r="F12" s="22" t="s">
        <v>22</v>
      </c>
      <c r="G12" s="22" t="s">
        <v>20</v>
      </c>
      <c r="H12" s="22" t="s">
        <v>18</v>
      </c>
      <c r="I12" s="22" t="s">
        <v>20</v>
      </c>
      <c r="J12" s="22" t="s">
        <v>22</v>
      </c>
      <c r="K12" s="23" t="n">
        <f aca="false">COUNTIF(B12:J12,"A")</f>
        <v>1</v>
      </c>
    </row>
    <row r="13" customFormat="false" ht="27.75" hidden="false" customHeight="true" outlineLevel="0" collapsed="false">
      <c r="A13" s="21" t="s">
        <v>156</v>
      </c>
      <c r="B13" s="22" t="s">
        <v>20</v>
      </c>
      <c r="C13" s="22" t="s">
        <v>16</v>
      </c>
      <c r="D13" s="22" t="s">
        <v>22</v>
      </c>
      <c r="E13" s="22" t="s">
        <v>22</v>
      </c>
      <c r="F13" s="22" t="s">
        <v>22</v>
      </c>
      <c r="G13" s="22" t="s">
        <v>18</v>
      </c>
      <c r="H13" s="22" t="s">
        <v>22</v>
      </c>
      <c r="I13" s="22" t="s">
        <v>20</v>
      </c>
      <c r="J13" s="22" t="s">
        <v>22</v>
      </c>
      <c r="K13" s="23" t="n">
        <f aca="false">COUNTIF(B13:J13,"A")</f>
        <v>1</v>
      </c>
    </row>
    <row r="14" customFormat="false" ht="27.75" hidden="false" customHeight="true" outlineLevel="0" collapsed="false">
      <c r="A14" s="21" t="s">
        <v>157</v>
      </c>
      <c r="B14" s="22" t="s">
        <v>16</v>
      </c>
      <c r="C14" s="22" t="s">
        <v>22</v>
      </c>
      <c r="D14" s="22" t="s">
        <v>22</v>
      </c>
      <c r="E14" s="22" t="s">
        <v>22</v>
      </c>
      <c r="F14" s="22" t="s">
        <v>22</v>
      </c>
      <c r="G14" s="22" t="s">
        <v>22</v>
      </c>
      <c r="H14" s="22" t="s">
        <v>20</v>
      </c>
      <c r="I14" s="22" t="s">
        <v>22</v>
      </c>
      <c r="J14" s="22" t="s">
        <v>18</v>
      </c>
      <c r="K14" s="23" t="n">
        <f aca="false">COUNTIF(B14:J14,"A")</f>
        <v>1</v>
      </c>
    </row>
    <row r="16" customFormat="false" ht="15" hidden="false" customHeight="false" outlineLevel="0" collapsed="false">
      <c r="A16" s="24" t="s">
        <v>158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15" hidden="false" customHeight="false" outlineLevel="0" collapsed="false">
      <c r="A17" s="9" t="s">
        <v>30</v>
      </c>
      <c r="B17" s="9"/>
      <c r="C17" s="9"/>
      <c r="D17" s="9"/>
      <c r="E17" s="9"/>
      <c r="F17" s="9"/>
      <c r="G17" s="9"/>
      <c r="H17" s="9"/>
      <c r="I17" s="9"/>
      <c r="J17" s="9"/>
      <c r="K17" s="9"/>
    </row>
  </sheetData>
  <mergeCells count="5">
    <mergeCell ref="A1:K1"/>
    <mergeCell ref="A2:K2"/>
    <mergeCell ref="A3:K3"/>
    <mergeCell ref="A16:K16"/>
    <mergeCell ref="A17:K17"/>
  </mergeCells>
  <dataValidations count="1">
    <dataValidation allowBlank="true" errorStyle="stop" operator="between" showDropDown="false" showErrorMessage="false" showInputMessage="false" sqref="B6:J14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8"/>
  </cols>
  <sheetData>
    <row r="1" customFormat="false" ht="30" hidden="false" customHeight="true" outlineLevel="0" collapsed="false">
      <c r="A1" s="2" t="s">
        <v>159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160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25.5" hidden="false" customHeight="true" outlineLevel="0" collapsed="false">
      <c r="A5" s="25" t="s">
        <v>161</v>
      </c>
      <c r="B5" s="25" t="s">
        <v>162</v>
      </c>
      <c r="C5" s="25" t="s">
        <v>163</v>
      </c>
      <c r="D5" s="25" t="s">
        <v>164</v>
      </c>
      <c r="E5" s="25" t="s">
        <v>43</v>
      </c>
      <c r="F5" s="25" t="s">
        <v>165</v>
      </c>
      <c r="G5" s="25" t="s">
        <v>166</v>
      </c>
    </row>
    <row r="6" customFormat="false" ht="30" hidden="false" customHeight="true" outlineLevel="0" collapsed="false">
      <c r="A6" s="12" t="s">
        <v>167</v>
      </c>
      <c r="B6" s="12" t="s">
        <v>168</v>
      </c>
      <c r="C6" s="12" t="s">
        <v>169</v>
      </c>
      <c r="D6" s="12" t="s">
        <v>79</v>
      </c>
      <c r="E6" s="12" t="s">
        <v>45</v>
      </c>
      <c r="F6" s="12" t="s">
        <v>170</v>
      </c>
      <c r="G6" s="12" t="s">
        <v>171</v>
      </c>
    </row>
    <row r="7" customFormat="false" ht="30" hidden="false" customHeight="true" outlineLevel="0" collapsed="false">
      <c r="A7" s="12" t="s">
        <v>172</v>
      </c>
      <c r="B7" s="12" t="s">
        <v>173</v>
      </c>
      <c r="C7" s="12" t="s">
        <v>174</v>
      </c>
      <c r="D7" s="12" t="s">
        <v>69</v>
      </c>
      <c r="E7" s="12" t="s">
        <v>51</v>
      </c>
      <c r="F7" s="12" t="s">
        <v>175</v>
      </c>
      <c r="G7" s="12" t="s">
        <v>176</v>
      </c>
    </row>
    <row r="8" customFormat="false" ht="30" hidden="false" customHeight="true" outlineLevel="0" collapsed="false">
      <c r="A8" s="12" t="s">
        <v>177</v>
      </c>
      <c r="B8" s="12" t="s">
        <v>178</v>
      </c>
      <c r="C8" s="12" t="s">
        <v>179</v>
      </c>
      <c r="D8" s="12" t="s">
        <v>180</v>
      </c>
      <c r="E8" s="12" t="s">
        <v>88</v>
      </c>
      <c r="F8" s="12" t="s">
        <v>181</v>
      </c>
      <c r="G8" s="12" t="s">
        <v>182</v>
      </c>
    </row>
    <row r="9" customFormat="false" ht="30" hidden="false" customHeight="true" outlineLevel="0" collapsed="false">
      <c r="A9" s="12" t="s">
        <v>183</v>
      </c>
      <c r="B9" s="12" t="s">
        <v>184</v>
      </c>
      <c r="C9" s="12" t="s">
        <v>185</v>
      </c>
      <c r="D9" s="12" t="s">
        <v>69</v>
      </c>
      <c r="E9" s="12" t="s">
        <v>51</v>
      </c>
      <c r="F9" s="12" t="s">
        <v>186</v>
      </c>
      <c r="G9" s="12" t="s">
        <v>187</v>
      </c>
    </row>
    <row r="10" customFormat="false" ht="30" hidden="false" customHeight="true" outlineLevel="0" collapsed="false">
      <c r="A10" s="12" t="s">
        <v>188</v>
      </c>
      <c r="B10" s="12" t="s">
        <v>189</v>
      </c>
      <c r="C10" s="12" t="s">
        <v>190</v>
      </c>
      <c r="D10" s="12" t="s">
        <v>191</v>
      </c>
      <c r="E10" s="12" t="s">
        <v>105</v>
      </c>
      <c r="F10" s="12" t="s">
        <v>192</v>
      </c>
      <c r="G10" s="12" t="s">
        <v>193</v>
      </c>
    </row>
    <row r="11" customFormat="false" ht="30" hidden="false" customHeight="true" outlineLevel="0" collapsed="false">
      <c r="A11" s="12" t="s">
        <v>194</v>
      </c>
      <c r="B11" s="12" t="s">
        <v>195</v>
      </c>
      <c r="C11" s="12" t="s">
        <v>196</v>
      </c>
      <c r="D11" s="12" t="s">
        <v>197</v>
      </c>
      <c r="E11" s="12" t="s">
        <v>109</v>
      </c>
      <c r="F11" s="12" t="s">
        <v>198</v>
      </c>
      <c r="G11" s="12" t="s">
        <v>199</v>
      </c>
    </row>
    <row r="12" customFormat="false" ht="30" hidden="false" customHeight="true" outlineLevel="0" collapsed="false">
      <c r="A12" s="12" t="s">
        <v>200</v>
      </c>
      <c r="B12" s="12" t="s">
        <v>201</v>
      </c>
      <c r="C12" s="12" t="s">
        <v>202</v>
      </c>
      <c r="D12" s="12" t="s">
        <v>89</v>
      </c>
      <c r="E12" s="12" t="s">
        <v>114</v>
      </c>
      <c r="F12" s="12" t="s">
        <v>203</v>
      </c>
      <c r="G12" s="12" t="s">
        <v>204</v>
      </c>
    </row>
    <row r="13" customFormat="false" ht="30" hidden="false" customHeight="true" outlineLevel="0" collapsed="false">
      <c r="A13" s="12" t="s">
        <v>205</v>
      </c>
      <c r="B13" s="12" t="s">
        <v>206</v>
      </c>
      <c r="C13" s="12" t="s">
        <v>207</v>
      </c>
      <c r="D13" s="12" t="s">
        <v>110</v>
      </c>
      <c r="E13" s="12" t="s">
        <v>51</v>
      </c>
      <c r="F13" s="12" t="s">
        <v>208</v>
      </c>
      <c r="G13" s="12" t="s">
        <v>209</v>
      </c>
    </row>
    <row r="14" customFormat="false" ht="30" hidden="false" customHeight="true" outlineLevel="0" collapsed="false">
      <c r="A14" s="12" t="s">
        <v>210</v>
      </c>
      <c r="B14" s="12" t="s">
        <v>211</v>
      </c>
      <c r="C14" s="12" t="s">
        <v>212</v>
      </c>
      <c r="D14" s="12" t="s">
        <v>191</v>
      </c>
      <c r="E14" s="12" t="s">
        <v>213</v>
      </c>
      <c r="F14" s="12" t="s">
        <v>214</v>
      </c>
      <c r="G14" s="12" t="s">
        <v>215</v>
      </c>
    </row>
    <row r="16" customFormat="false" ht="15" hidden="false" customHeight="false" outlineLevel="0" collapsed="false">
      <c r="A16" s="9" t="s">
        <v>30</v>
      </c>
      <c r="B16" s="9"/>
      <c r="C16" s="9"/>
      <c r="D16" s="9"/>
      <c r="E16" s="9"/>
      <c r="F16" s="9"/>
      <c r="G16" s="9"/>
    </row>
  </sheetData>
  <mergeCells count="4">
    <mergeCell ref="A1:G1"/>
    <mergeCell ref="A2:G2"/>
    <mergeCell ref="A3:G3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8" min="7" style="1" width="11"/>
    <col collapsed="false" customWidth="true" hidden="false" outlineLevel="0" max="9" min="9" style="1" width="30"/>
    <col collapsed="false" customWidth="true" hidden="false" outlineLevel="0" max="10" min="10" style="1" width="34"/>
    <col collapsed="false" customWidth="true" hidden="false" outlineLevel="0" max="11" min="11" style="1" width="10"/>
    <col collapsed="false" customWidth="true" hidden="false" outlineLevel="0" max="12" min="12" style="1" width="15"/>
  </cols>
  <sheetData>
    <row r="1" customFormat="false" ht="30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customFormat="false" ht="30" hidden="false" customHeight="true" outlineLevel="0" collapsed="false">
      <c r="A5" s="10" t="s">
        <v>33</v>
      </c>
      <c r="B5" s="10" t="s">
        <v>34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42</v>
      </c>
      <c r="K5" s="10" t="s">
        <v>43</v>
      </c>
      <c r="L5" s="10" t="s">
        <v>44</v>
      </c>
    </row>
    <row r="6" customFormat="false" ht="33.75" hidden="false" customHeight="true" outlineLevel="0" collapsed="false">
      <c r="A6" s="11" t="n">
        <v>1</v>
      </c>
      <c r="B6" s="12"/>
      <c r="C6" s="12"/>
      <c r="D6" s="13"/>
      <c r="E6" s="13"/>
      <c r="F6" s="14" t="str">
        <f aca="false">IF(OR(D6="",E6=""),"",IF(AND(D6&gt;=3,E6&gt;=3),"Manage closely",IF(AND(D6&gt;=3,E6&lt;3),"Keep satisfied",IF(AND(D6&lt;3,E6&gt;=3),"Keep informed","Monitor"))))</f>
        <v/>
      </c>
      <c r="G6" s="12"/>
      <c r="H6" s="12"/>
      <c r="I6" s="12"/>
      <c r="J6" s="12"/>
      <c r="K6" s="12"/>
      <c r="L6" s="12"/>
    </row>
    <row r="7" customFormat="false" ht="33.75" hidden="false" customHeight="true" outlineLevel="0" collapsed="false">
      <c r="A7" s="11" t="n">
        <v>2</v>
      </c>
      <c r="B7" s="12"/>
      <c r="C7" s="12"/>
      <c r="D7" s="13"/>
      <c r="E7" s="13"/>
      <c r="F7" s="14" t="str">
        <f aca="false">IF(OR(D7="",E7=""),"",IF(AND(D7&gt;=3,E7&gt;=3),"Manage closely",IF(AND(D7&gt;=3,E7&lt;3),"Keep satisfied",IF(AND(D7&lt;3,E7&gt;=3),"Keep informed","Monitor"))))</f>
        <v/>
      </c>
      <c r="G7" s="12"/>
      <c r="H7" s="12"/>
      <c r="I7" s="12"/>
      <c r="J7" s="12"/>
      <c r="K7" s="12"/>
      <c r="L7" s="12"/>
    </row>
    <row r="8" customFormat="false" ht="33.75" hidden="false" customHeight="true" outlineLevel="0" collapsed="false">
      <c r="A8" s="11" t="n">
        <v>3</v>
      </c>
      <c r="B8" s="12"/>
      <c r="C8" s="12"/>
      <c r="D8" s="13"/>
      <c r="E8" s="13"/>
      <c r="F8" s="14" t="str">
        <f aca="false">IF(OR(D8="",E8=""),"",IF(AND(D8&gt;=3,E8&gt;=3),"Manage closely",IF(AND(D8&gt;=3,E8&lt;3),"Keep satisfied",IF(AND(D8&lt;3,E8&gt;=3),"Keep informed","Monitor"))))</f>
        <v/>
      </c>
      <c r="G8" s="12"/>
      <c r="H8" s="12"/>
      <c r="I8" s="12"/>
      <c r="J8" s="12"/>
      <c r="K8" s="12"/>
      <c r="L8" s="12"/>
    </row>
    <row r="9" customFormat="false" ht="33.75" hidden="false" customHeight="true" outlineLevel="0" collapsed="false">
      <c r="A9" s="11" t="n">
        <v>4</v>
      </c>
      <c r="B9" s="12"/>
      <c r="C9" s="12"/>
      <c r="D9" s="13"/>
      <c r="E9" s="13"/>
      <c r="F9" s="14" t="str">
        <f aca="false">IF(OR(D9="",E9=""),"",IF(AND(D9&gt;=3,E9&gt;=3),"Manage closely",IF(AND(D9&gt;=3,E9&lt;3),"Keep satisfied",IF(AND(D9&lt;3,E9&gt;=3),"Keep informed","Monitor"))))</f>
        <v/>
      </c>
      <c r="G9" s="12"/>
      <c r="H9" s="12"/>
      <c r="I9" s="12"/>
      <c r="J9" s="12"/>
      <c r="K9" s="12"/>
      <c r="L9" s="12"/>
    </row>
    <row r="10" customFormat="false" ht="33.75" hidden="false" customHeight="true" outlineLevel="0" collapsed="false">
      <c r="A10" s="11" t="n">
        <v>5</v>
      </c>
      <c r="B10" s="12"/>
      <c r="C10" s="12"/>
      <c r="D10" s="13"/>
      <c r="E10" s="13"/>
      <c r="F10" s="14" t="str">
        <f aca="false">IF(OR(D10="",E10=""),"",IF(AND(D10&gt;=3,E10&gt;=3),"Manage closely",IF(AND(D10&gt;=3,E10&lt;3),"Keep satisfied",IF(AND(D10&lt;3,E10&gt;=3),"Keep informed","Monitor"))))</f>
        <v/>
      </c>
      <c r="G10" s="12"/>
      <c r="H10" s="12"/>
      <c r="I10" s="12"/>
      <c r="J10" s="12"/>
      <c r="K10" s="12"/>
      <c r="L10" s="12"/>
    </row>
    <row r="11" customFormat="false" ht="33.75" hidden="false" customHeight="true" outlineLevel="0" collapsed="false">
      <c r="A11" s="11" t="n">
        <v>6</v>
      </c>
      <c r="B11" s="12"/>
      <c r="C11" s="12"/>
      <c r="D11" s="13"/>
      <c r="E11" s="13"/>
      <c r="F11" s="14" t="str">
        <f aca="false">IF(OR(D11="",E11=""),"",IF(AND(D11&gt;=3,E11&gt;=3),"Manage closely",IF(AND(D11&gt;=3,E11&lt;3),"Keep satisfied",IF(AND(D11&lt;3,E11&gt;=3),"Keep informed","Monitor"))))</f>
        <v/>
      </c>
      <c r="G11" s="12"/>
      <c r="H11" s="12"/>
      <c r="I11" s="12"/>
      <c r="J11" s="12"/>
      <c r="K11" s="12"/>
      <c r="L11" s="12"/>
    </row>
    <row r="12" customFormat="false" ht="33.75" hidden="false" customHeight="true" outlineLevel="0" collapsed="false">
      <c r="A12" s="11" t="n">
        <v>7</v>
      </c>
      <c r="B12" s="12"/>
      <c r="C12" s="12"/>
      <c r="D12" s="13"/>
      <c r="E12" s="13"/>
      <c r="F12" s="14" t="str">
        <f aca="false">IF(OR(D12="",E12=""),"",IF(AND(D12&gt;=3,E12&gt;=3),"Manage closely",IF(AND(D12&gt;=3,E12&lt;3),"Keep satisfied",IF(AND(D12&lt;3,E12&gt;=3),"Keep informed","Monitor"))))</f>
        <v/>
      </c>
      <c r="G12" s="12"/>
      <c r="H12" s="12"/>
      <c r="I12" s="12"/>
      <c r="J12" s="12"/>
      <c r="K12" s="12"/>
      <c r="L12" s="12"/>
    </row>
    <row r="13" customFormat="false" ht="33.75" hidden="false" customHeight="true" outlineLevel="0" collapsed="false">
      <c r="A13" s="11" t="n">
        <v>8</v>
      </c>
      <c r="B13" s="12"/>
      <c r="C13" s="12"/>
      <c r="D13" s="13"/>
      <c r="E13" s="13"/>
      <c r="F13" s="14" t="str">
        <f aca="false">IF(OR(D13="",E13=""),"",IF(AND(D13&gt;=3,E13&gt;=3),"Manage closely",IF(AND(D13&gt;=3,E13&lt;3),"Keep satisfied",IF(AND(D13&lt;3,E13&gt;=3),"Keep informed","Monitor"))))</f>
        <v/>
      </c>
      <c r="G13" s="12"/>
      <c r="H13" s="12"/>
      <c r="I13" s="12"/>
      <c r="J13" s="12"/>
      <c r="K13" s="12"/>
      <c r="L13" s="12"/>
    </row>
    <row r="14" customFormat="false" ht="33.75" hidden="false" customHeight="true" outlineLevel="0" collapsed="false">
      <c r="A14" s="11" t="n">
        <v>9</v>
      </c>
      <c r="B14" s="12"/>
      <c r="C14" s="12"/>
      <c r="D14" s="13"/>
      <c r="E14" s="13"/>
      <c r="F14" s="14" t="str">
        <f aca="false">IF(OR(D14="",E14=""),"",IF(AND(D14&gt;=3,E14&gt;=3),"Manage closely",IF(AND(D14&gt;=3,E14&lt;3),"Keep satisfied",IF(AND(D14&lt;3,E14&gt;=3),"Keep informed","Monitor"))))</f>
        <v/>
      </c>
      <c r="G14" s="12"/>
      <c r="H14" s="12"/>
      <c r="I14" s="12"/>
      <c r="J14" s="12"/>
      <c r="K14" s="12"/>
      <c r="L14" s="12"/>
    </row>
    <row r="15" customFormat="false" ht="33.75" hidden="false" customHeight="true" outlineLevel="0" collapsed="false">
      <c r="A15" s="11" t="n">
        <v>10</v>
      </c>
      <c r="B15" s="12"/>
      <c r="C15" s="12"/>
      <c r="D15" s="13"/>
      <c r="E15" s="13"/>
      <c r="F15" s="14" t="str">
        <f aca="false">IF(OR(D15="",E15=""),"",IF(AND(D15&gt;=3,E15&gt;=3),"Manage closely",IF(AND(D15&gt;=3,E15&lt;3),"Keep satisfied",IF(AND(D15&lt;3,E15&gt;=3),"Keep informed","Monitor"))))</f>
        <v/>
      </c>
      <c r="G15" s="12"/>
      <c r="H15" s="12"/>
      <c r="I15" s="12"/>
      <c r="J15" s="12"/>
      <c r="K15" s="12"/>
      <c r="L15" s="12"/>
    </row>
    <row r="16" customFormat="false" ht="33.75" hidden="false" customHeight="true" outlineLevel="0" collapsed="false">
      <c r="A16" s="11" t="n">
        <v>11</v>
      </c>
      <c r="B16" s="12"/>
      <c r="C16" s="12"/>
      <c r="D16" s="13"/>
      <c r="E16" s="13"/>
      <c r="F16" s="14" t="str">
        <f aca="false">IF(OR(D16="",E16=""),"",IF(AND(D16&gt;=3,E16&gt;=3),"Manage closely",IF(AND(D16&gt;=3,E16&lt;3),"Keep satisfied",IF(AND(D16&lt;3,E16&gt;=3),"Keep informed","Monitor"))))</f>
        <v/>
      </c>
      <c r="G16" s="12"/>
      <c r="H16" s="12"/>
      <c r="I16" s="12"/>
      <c r="J16" s="12"/>
      <c r="K16" s="12"/>
      <c r="L16" s="12"/>
    </row>
    <row r="17" customFormat="false" ht="33.75" hidden="false" customHeight="true" outlineLevel="0" collapsed="false">
      <c r="A17" s="11" t="n">
        <v>12</v>
      </c>
      <c r="B17" s="12"/>
      <c r="C17" s="12"/>
      <c r="D17" s="13"/>
      <c r="E17" s="13"/>
      <c r="F17" s="14" t="str">
        <f aca="false">IF(OR(D17="",E17=""),"",IF(AND(D17&gt;=3,E17&gt;=3),"Manage closely",IF(AND(D17&gt;=3,E17&lt;3),"Keep satisfied",IF(AND(D17&lt;3,E17&gt;=3),"Keep informed","Monitor"))))</f>
        <v/>
      </c>
      <c r="G17" s="12"/>
      <c r="H17" s="12"/>
      <c r="I17" s="12"/>
      <c r="J17" s="12"/>
      <c r="K17" s="12"/>
      <c r="L17" s="12"/>
    </row>
    <row r="18" customFormat="false" ht="33.75" hidden="false" customHeight="true" outlineLevel="0" collapsed="false">
      <c r="A18" s="11" t="n">
        <v>13</v>
      </c>
      <c r="B18" s="12"/>
      <c r="C18" s="12"/>
      <c r="D18" s="13"/>
      <c r="E18" s="13"/>
      <c r="F18" s="14" t="str">
        <f aca="false">IF(OR(D18="",E18=""),"",IF(AND(D18&gt;=3,E18&gt;=3),"Manage closely",IF(AND(D18&gt;=3,E18&lt;3),"Keep satisfied",IF(AND(D18&lt;3,E18&gt;=3),"Keep informed","Monitor"))))</f>
        <v/>
      </c>
      <c r="G18" s="12"/>
      <c r="H18" s="12"/>
      <c r="I18" s="12"/>
      <c r="J18" s="12"/>
      <c r="K18" s="12"/>
      <c r="L18" s="12"/>
    </row>
    <row r="19" customFormat="false" ht="33.75" hidden="false" customHeight="true" outlineLevel="0" collapsed="false">
      <c r="A19" s="11" t="n">
        <v>14</v>
      </c>
      <c r="B19" s="12"/>
      <c r="C19" s="12"/>
      <c r="D19" s="13"/>
      <c r="E19" s="13"/>
      <c r="F19" s="14" t="str">
        <f aca="false">IF(OR(D19="",E19=""),"",IF(AND(D19&gt;=3,E19&gt;=3),"Manage closely",IF(AND(D19&gt;=3,E19&lt;3),"Keep satisfied",IF(AND(D19&lt;3,E19&gt;=3),"Keep informed","Monitor"))))</f>
        <v/>
      </c>
      <c r="G19" s="12"/>
      <c r="H19" s="12"/>
      <c r="I19" s="12"/>
      <c r="J19" s="12"/>
      <c r="K19" s="12"/>
      <c r="L19" s="12"/>
    </row>
    <row r="21" customFormat="false" ht="15" hidden="false" customHeight="false" outlineLevel="0" collapsed="false">
      <c r="A21" s="9" t="s">
        <v>30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</sheetData>
  <mergeCells count="4">
    <mergeCell ref="A1:L1"/>
    <mergeCell ref="A2:L2"/>
    <mergeCell ref="A3:L3"/>
    <mergeCell ref="A21:L21"/>
  </mergeCells>
  <conditionalFormatting sqref="F6:F19">
    <cfRule type="expression" priority="2" aboveAverage="0" equalAverage="0" bottom="0" percent="0" rank="0" text="" dxfId="0">
      <formula>$F6="Manage closely"</formula>
    </cfRule>
    <cfRule type="expression" priority="3" aboveAverage="0" equalAverage="0" bottom="0" percent="0" rank="0" text="" dxfId="1">
      <formula>$F6="Keep satisfied"</formula>
    </cfRule>
    <cfRule type="expression" priority="4" aboveAverage="0" equalAverage="0" bottom="0" percent="0" rank="0" text="" dxfId="2">
      <formula>$F6="Keep informed"</formula>
    </cfRule>
    <cfRule type="expression" priority="5" aboveAverage="0" equalAverage="0" bottom="0" percent="0" rank="0" text="" dxfId="3">
      <formula>$F6="Monitor"</formula>
    </cfRule>
  </conditionalFormatting>
  <dataValidations count="2">
    <dataValidation allowBlank="true" errorStyle="stop" operator="between" showDropDown="false" showErrorMessage="false" showInputMessage="false" sqref="D6:E19" type="list">
      <formula1>"1,2,3,4,5"</formula1>
      <formula2>0</formula2>
    </dataValidation>
    <dataValidation allowBlank="true" errorStyle="stop" operator="between" showDropDown="false" showErrorMessage="false" showInputMessage="false" sqref="G6:H19" type="list">
      <formula1>"Champion,Supporter,Neutral,Skeptic,Blocker"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0" min="2" style="1" width="13"/>
    <col collapsed="false" customWidth="true" hidden="false" outlineLevel="0" max="12" min="12" style="1" width="9"/>
  </cols>
  <sheetData>
    <row r="1" customFormat="false" ht="30" hidden="false" customHeight="true" outlineLevel="0" collapsed="false">
      <c r="A1" s="2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139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5" customFormat="false" ht="30" hidden="false" customHeight="true" outlineLevel="0" collapsed="false">
      <c r="A5" s="20" t="s">
        <v>140</v>
      </c>
      <c r="B5" s="10" t="s">
        <v>141</v>
      </c>
      <c r="C5" s="10" t="s">
        <v>58</v>
      </c>
      <c r="D5" s="10" t="s">
        <v>142</v>
      </c>
      <c r="E5" s="10" t="s">
        <v>143</v>
      </c>
      <c r="F5" s="10" t="s">
        <v>144</v>
      </c>
      <c r="G5" s="10" t="s">
        <v>145</v>
      </c>
      <c r="H5" s="10" t="s">
        <v>146</v>
      </c>
      <c r="I5" s="10" t="s">
        <v>147</v>
      </c>
      <c r="J5" s="10" t="s">
        <v>45</v>
      </c>
      <c r="K5" s="10" t="s">
        <v>148</v>
      </c>
    </row>
    <row r="6" customFormat="false" ht="27.75" hidden="false" customHeight="true" outlineLevel="0" collapsed="false">
      <c r="A6" s="21"/>
      <c r="B6" s="22"/>
      <c r="C6" s="22"/>
      <c r="D6" s="22"/>
      <c r="E6" s="22"/>
      <c r="F6" s="22"/>
      <c r="G6" s="22"/>
      <c r="H6" s="22"/>
      <c r="I6" s="22"/>
      <c r="J6" s="22"/>
      <c r="K6" s="23" t="n">
        <f aca="false">COUNTIF(B6:J6,"A")</f>
        <v>0</v>
      </c>
    </row>
    <row r="7" customFormat="false" ht="27.75" hidden="false" customHeight="true" outlineLevel="0" collapsed="false">
      <c r="A7" s="21"/>
      <c r="B7" s="22"/>
      <c r="C7" s="22"/>
      <c r="D7" s="22"/>
      <c r="E7" s="22"/>
      <c r="F7" s="22"/>
      <c r="G7" s="22"/>
      <c r="H7" s="22"/>
      <c r="I7" s="22"/>
      <c r="J7" s="22"/>
      <c r="K7" s="23" t="n">
        <f aca="false">COUNTIF(B7:J7,"A")</f>
        <v>0</v>
      </c>
    </row>
    <row r="8" customFormat="false" ht="27.75" hidden="false" customHeight="true" outlineLevel="0" collapsed="false">
      <c r="A8" s="21"/>
      <c r="B8" s="22"/>
      <c r="C8" s="22"/>
      <c r="D8" s="22"/>
      <c r="E8" s="22"/>
      <c r="F8" s="22"/>
      <c r="G8" s="22"/>
      <c r="H8" s="22"/>
      <c r="I8" s="22"/>
      <c r="J8" s="22"/>
      <c r="K8" s="23" t="n">
        <f aca="false">COUNTIF(B8:J8,"A")</f>
        <v>0</v>
      </c>
    </row>
    <row r="9" customFormat="false" ht="27.75" hidden="false" customHeight="true" outlineLevel="0" collapsed="false">
      <c r="A9" s="21"/>
      <c r="B9" s="22"/>
      <c r="C9" s="22"/>
      <c r="D9" s="22"/>
      <c r="E9" s="22"/>
      <c r="F9" s="22"/>
      <c r="G9" s="22"/>
      <c r="H9" s="22"/>
      <c r="I9" s="22"/>
      <c r="J9" s="22"/>
      <c r="K9" s="23" t="n">
        <f aca="false">COUNTIF(B9:J9,"A")</f>
        <v>0</v>
      </c>
    </row>
    <row r="10" customFormat="false" ht="27.75" hidden="false" customHeight="true" outlineLevel="0" collapsed="false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3" t="n">
        <f aca="false">COUNTIF(B10:J10,"A")</f>
        <v>0</v>
      </c>
    </row>
    <row r="11" customFormat="false" ht="27.75" hidden="false" customHeight="true" outlineLevel="0" collapsed="false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3" t="n">
        <f aca="false">COUNTIF(B11:J11,"A")</f>
        <v>0</v>
      </c>
    </row>
    <row r="12" customFormat="false" ht="27.75" hidden="false" customHeight="true" outlineLevel="0" collapsed="false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3" t="n">
        <f aca="false">COUNTIF(B12:J12,"A")</f>
        <v>0</v>
      </c>
    </row>
    <row r="13" customFormat="false" ht="27.75" hidden="false" customHeight="true" outlineLevel="0" collapsed="false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3" t="n">
        <f aca="false">COUNTIF(B13:J13,"A")</f>
        <v>0</v>
      </c>
    </row>
    <row r="14" customFormat="false" ht="27.75" hidden="false" customHeight="true" outlineLevel="0" collapsed="false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3" t="n">
        <f aca="false">COUNTIF(B14:J14,"A")</f>
        <v>0</v>
      </c>
    </row>
    <row r="15" customFormat="false" ht="27.75" hidden="false" customHeight="true" outlineLevel="0" collapsed="false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3" t="n">
        <f aca="false">COUNTIF(B15:J15,"A")</f>
        <v>0</v>
      </c>
    </row>
    <row r="17" customFormat="false" ht="15" hidden="false" customHeight="false" outlineLevel="0" collapsed="false">
      <c r="A17" s="24" t="s">
        <v>158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customFormat="false" ht="15" hidden="false" customHeight="false" outlineLevel="0" collapsed="false">
      <c r="A18" s="9" t="s">
        <v>30</v>
      </c>
      <c r="B18" s="9"/>
      <c r="C18" s="9"/>
      <c r="D18" s="9"/>
      <c r="E18" s="9"/>
      <c r="F18" s="9"/>
      <c r="G18" s="9"/>
      <c r="H18" s="9"/>
      <c r="I18" s="9"/>
      <c r="J18" s="9"/>
      <c r="K18" s="9"/>
    </row>
  </sheetData>
  <mergeCells count="5">
    <mergeCell ref="A1:K1"/>
    <mergeCell ref="A2:K2"/>
    <mergeCell ref="A3:K3"/>
    <mergeCell ref="A17:K17"/>
    <mergeCell ref="A18:K18"/>
  </mergeCells>
  <dataValidations count="1">
    <dataValidation allowBlank="true" errorStyle="stop" operator="between" showDropDown="false" showErrorMessage="false" showInputMessage="false" sqref="B6:J15" type="list">
      <formula1>"R,A,C,I"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18"/>
  </cols>
  <sheetData>
    <row r="1" customFormat="false" ht="30" hidden="false" customHeight="true" outlineLevel="0" collapsed="false">
      <c r="A1" s="2" t="s">
        <v>159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160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25.5" hidden="false" customHeight="true" outlineLevel="0" collapsed="false">
      <c r="A5" s="25" t="s">
        <v>161</v>
      </c>
      <c r="B5" s="25" t="s">
        <v>162</v>
      </c>
      <c r="C5" s="25" t="s">
        <v>163</v>
      </c>
      <c r="D5" s="25" t="s">
        <v>164</v>
      </c>
      <c r="E5" s="25" t="s">
        <v>43</v>
      </c>
      <c r="F5" s="25" t="s">
        <v>165</v>
      </c>
      <c r="G5" s="25" t="s">
        <v>166</v>
      </c>
    </row>
    <row r="6" customFormat="false" ht="30" hidden="false" customHeight="true" outlineLevel="0" collapsed="false">
      <c r="A6" s="12"/>
      <c r="B6" s="12"/>
      <c r="C6" s="12"/>
      <c r="D6" s="12"/>
      <c r="E6" s="12"/>
      <c r="F6" s="12"/>
      <c r="G6" s="12"/>
    </row>
    <row r="7" customFormat="false" ht="30" hidden="false" customHeight="true" outlineLevel="0" collapsed="false">
      <c r="A7" s="12"/>
      <c r="B7" s="12"/>
      <c r="C7" s="12"/>
      <c r="D7" s="12"/>
      <c r="E7" s="12"/>
      <c r="F7" s="12"/>
      <c r="G7" s="12"/>
    </row>
    <row r="8" customFormat="false" ht="30" hidden="false" customHeight="true" outlineLevel="0" collapsed="false">
      <c r="A8" s="12"/>
      <c r="B8" s="12"/>
      <c r="C8" s="12"/>
      <c r="D8" s="12"/>
      <c r="E8" s="12"/>
      <c r="F8" s="12"/>
      <c r="G8" s="12"/>
    </row>
    <row r="9" customFormat="false" ht="30" hidden="false" customHeight="true" outlineLevel="0" collapsed="false">
      <c r="A9" s="12"/>
      <c r="B9" s="12"/>
      <c r="C9" s="12"/>
      <c r="D9" s="12"/>
      <c r="E9" s="12"/>
      <c r="F9" s="12"/>
      <c r="G9" s="12"/>
    </row>
    <row r="10" customFormat="false" ht="30" hidden="false" customHeight="true" outlineLevel="0" collapsed="false">
      <c r="A10" s="12"/>
      <c r="B10" s="12"/>
      <c r="C10" s="12"/>
      <c r="D10" s="12"/>
      <c r="E10" s="12"/>
      <c r="F10" s="12"/>
      <c r="G10" s="12"/>
    </row>
    <row r="11" customFormat="false" ht="30" hidden="false" customHeight="true" outlineLevel="0" collapsed="false">
      <c r="A11" s="12"/>
      <c r="B11" s="12"/>
      <c r="C11" s="12"/>
      <c r="D11" s="12"/>
      <c r="E11" s="12"/>
      <c r="F11" s="12"/>
      <c r="G11" s="12"/>
    </row>
    <row r="12" customFormat="false" ht="30" hidden="false" customHeight="true" outlineLevel="0" collapsed="false">
      <c r="A12" s="12"/>
      <c r="B12" s="12"/>
      <c r="C12" s="12"/>
      <c r="D12" s="12"/>
      <c r="E12" s="12"/>
      <c r="F12" s="12"/>
      <c r="G12" s="12"/>
    </row>
    <row r="13" customFormat="false" ht="30" hidden="false" customHeight="true" outlineLevel="0" collapsed="false">
      <c r="A13" s="12"/>
      <c r="B13" s="12"/>
      <c r="C13" s="12"/>
      <c r="D13" s="12"/>
      <c r="E13" s="12"/>
      <c r="F13" s="12"/>
      <c r="G13" s="12"/>
    </row>
    <row r="14" customFormat="false" ht="30" hidden="false" customHeight="true" outlineLevel="0" collapsed="false">
      <c r="A14" s="12"/>
      <c r="B14" s="12"/>
      <c r="C14" s="12"/>
      <c r="D14" s="12"/>
      <c r="E14" s="12"/>
      <c r="F14" s="12"/>
      <c r="G14" s="12"/>
    </row>
    <row r="15" customFormat="false" ht="30" hidden="false" customHeight="true" outlineLevel="0" collapsed="false">
      <c r="A15" s="12"/>
      <c r="B15" s="12"/>
      <c r="C15" s="12"/>
      <c r="D15" s="12"/>
      <c r="E15" s="12"/>
      <c r="F15" s="12"/>
      <c r="G15" s="12"/>
    </row>
    <row r="16" customFormat="false" ht="30" hidden="false" customHeight="true" outlineLevel="0" collapsed="false">
      <c r="A16" s="12"/>
      <c r="B16" s="12"/>
      <c r="C16" s="12"/>
      <c r="D16" s="12"/>
      <c r="E16" s="12"/>
      <c r="F16" s="12"/>
      <c r="G16" s="12"/>
    </row>
    <row r="17" customFormat="false" ht="30" hidden="false" customHeight="true" outlineLevel="0" collapsed="false">
      <c r="A17" s="12"/>
      <c r="B17" s="12"/>
      <c r="C17" s="12"/>
      <c r="D17" s="12"/>
      <c r="E17" s="12"/>
      <c r="F17" s="12"/>
      <c r="G17" s="12"/>
    </row>
    <row r="19" customFormat="false" ht="15" hidden="false" customHeight="false" outlineLevel="0" collapsed="false">
      <c r="A19" s="9" t="s">
        <v>30</v>
      </c>
      <c r="B19" s="9"/>
      <c r="C19" s="9"/>
      <c r="D19" s="9"/>
      <c r="E19" s="9"/>
      <c r="F19" s="9"/>
      <c r="G19" s="9"/>
    </row>
  </sheetData>
  <mergeCells count="4">
    <mergeCell ref="A1:G1"/>
    <mergeCell ref="A2:G2"/>
    <mergeCell ref="A3:G3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2026-06-18T03:25:49Z</dcterms:created>
  <dc:creator>openpyxl</dc:creator>
  <dc:description/>
  <dc:language>en-US</dc:language>
  <cp:lastModifiedBy/>
  <dcterms:modified xsi:type="dcterms:W3CDTF">2026-06-18T14:30:47Z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