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ICE + Weighted — Example" sheetId="2" state="visible" r:id="rId4"/>
    <sheet name="Value-Effort Quadrant" sheetId="3" state="visible" r:id="rId5"/>
    <sheet name="RICE + Weighted — Blan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<sst xmlns="http://schemas.openxmlformats.org/spreadsheetml/2006/main" count="131" uniqueCount="84">
  <si>
    <t xml:space="preserve">PRIORITIZATION SCORING MATRIX</t>
  </si>
  <si>
    <t xml:space="preserve">How to use this matrix</t>
  </si>
  <si>
    <t xml:space="preserve">PM Toolkit by Neelesh Singh  ·  neeleshpmtoolkit.com</t>
  </si>
  <si>
    <t xml:space="preserve">What this is</t>
  </si>
  <si>
    <t xml:space="preserve">Two lenses on the same backlog, side by side. RICE gives you an objective, math-driven score; the weighted model lets you encode what YOUR business values; the quadrant turns it into a picture. Edit only the blue cells — every score, rank and quadrant recalculates itself.</t>
  </si>
  <si>
    <t xml:space="preserve">1) RICE  (developed by Sean McBride at Intercom)</t>
  </si>
  <si>
    <t xml:space="preserve">Reach</t>
  </si>
  <si>
    <t xml:space="preserve">How many accounts/users this affects per quarter. Use real data.</t>
  </si>
  <si>
    <t xml:space="preserve">Impact</t>
  </si>
  <si>
    <t xml:space="preserve">Per-account impact: 3 = massive, 2 = high, 1 = medium, 0.5 = low, 0.25 = minimal.</t>
  </si>
  <si>
    <t xml:space="preserve">Confidence</t>
  </si>
  <si>
    <t xml:space="preserve">How sure are you? 100% = data-backed, 80% = some data, 50% = a guess. Below 50% is a moonshot.</t>
  </si>
  <si>
    <t xml:space="preserve">Effort</t>
  </si>
  <si>
    <t xml:space="preserve">Total person-months across product, design &amp; engineering. The only factor that divides.</t>
  </si>
  <si>
    <t xml:space="preserve">Score</t>
  </si>
  <si>
    <t xml:space="preserve">RICE = (Reach × Impact × Confidence) ÷ Effort. Higher = more impact per unit of effort. Sort high → low.</t>
  </si>
  <si>
    <t xml:space="preserve">2) Weighted scoring  (when strategy matters as much as math)</t>
  </si>
  <si>
    <t xml:space="preserve">Rate each initiative 1–5 on five criteria, then set the weights (they must total 100%). The weighted value (0–100) reflects your strategy — useful when a low-RICE item is strategically essential (e.g. compliance that unlocks a market). Compare the RICE rank and the weighted rank: where they disagree is exactly where the interesting product conversation lives.</t>
  </si>
  <si>
    <t xml:space="preserve">3) Value vs Effort quadrant</t>
  </si>
  <si>
    <t xml:space="preserve">Quick win</t>
  </si>
  <si>
    <t xml:space="preserve">High value, low effort — do first.</t>
  </si>
  <si>
    <t xml:space="preserve">Big bet</t>
  </si>
  <si>
    <t xml:space="preserve">High value, high effort — plan and resource.</t>
  </si>
  <si>
    <t xml:space="preserve">Fill-in</t>
  </si>
  <si>
    <t xml:space="preserve">Low value, low effort — only with slack.</t>
  </si>
  <si>
    <t xml:space="preserve">Time sink</t>
  </si>
  <si>
    <t xml:space="preserve">Low value, high effort — avoid or defer.</t>
  </si>
  <si>
    <t xml:space="preserve">How to use the file</t>
  </si>
  <si>
    <t xml:space="preserve">•  ‘RICE + Weighted — Example’: a fictional billing &amp; payments SaaS (“Meterly”) with 10 real-feeling initiatives already scored.</t>
  </si>
  <si>
    <t xml:space="preserve">•  ‘Value-Effort Quadrant’: the same data plotted. Watch the quick wins separate from the time sinks.</t>
  </si>
  <si>
    <t xml:space="preserve">•  ‘RICE + Weighted — Blank’: your turn. Type into the blue cells; everything else is automatic.</t>
  </si>
  <si>
    <t xml:space="preserve">•  Re-score at the start of each planning cycle — confidence and effort change as you learn.</t>
  </si>
  <si>
    <t xml:space="preserve">© PM Toolkit by Neelesh Singh  ·  neeleshpmtoolkit.com  —  Free for personal use. Adapt freely; please keep the credit line.</t>
  </si>
  <si>
    <t xml:space="preserve">RICE + weighted scoring + Value/Effort quadrant — it ranks itself</t>
  </si>
  <si>
    <t xml:space="preserve">SET YOUR THRESHOLDS &amp; WEIGHTS</t>
  </si>
  <si>
    <t xml:space="preserve">Quick-win cutoffs:</t>
  </si>
  <si>
    <t xml:space="preserve">Value ≥</t>
  </si>
  <si>
    <t xml:space="preserve">Effort (PM) ≤</t>
  </si>
  <si>
    <t xml:space="preserve">RICE = (Reach × Impact × Confidence) ÷ Effort. Impact 3=massive,2=high,1=med,0.5=low,0.25=min. Confidence 100/80/50%.</t>
  </si>
  <si>
    <t xml:space="preserve">#</t>
  </si>
  <si>
    <t xml:space="preserve">Initiative</t>
  </si>
  <si>
    <t xml:space="preserve">Reach
(accounts/qtr)</t>
  </si>
  <si>
    <t xml:space="preserve">Impact
(0.25–3)</t>
  </si>
  <si>
    <t xml:space="preserve">Effort
(person-mo)</t>
  </si>
  <si>
    <t xml:space="preserve">RICE
score</t>
  </si>
  <si>
    <t xml:space="preserve">RICE
rank</t>
  </si>
  <si>
    <t xml:space="preserve">Strategic fit</t>
  </si>
  <si>
    <t xml:space="preserve">Revenue impact</t>
  </si>
  <si>
    <t xml:space="preserve">Customer / retention value</t>
  </si>
  <si>
    <t xml:space="preserve">Compliance / risk</t>
  </si>
  <si>
    <t xml:space="preserve">Feasibility / confidence</t>
  </si>
  <si>
    <t xml:space="preserve">Weighted
value (0–100)</t>
  </si>
  <si>
    <t xml:space="preserve">Wtd
rank</t>
  </si>
  <si>
    <t xml:space="preserve">Value/Effort
quadrant</t>
  </si>
  <si>
    <t xml:space="preserve">Criteria weights → (edit blue; must total 100%)</t>
  </si>
  <si>
    <t xml:space="preserve">(=100%?)</t>
  </si>
  <si>
    <t xml:space="preserve">Self-serve card update (pre-dunning)</t>
  </si>
  <si>
    <t xml:space="preserve">Webhook reliability + API status dashboard</t>
  </si>
  <si>
    <t xml:space="preserve">Smart Dunning v1 (retries + card-updater)</t>
  </si>
  <si>
    <t xml:space="preserve">Usage-metering accuracy (pipeline v2)</t>
  </si>
  <si>
    <t xml:space="preserve">AI-assisted recovery (adaptive)</t>
  </si>
  <si>
    <t xml:space="preserve">SAML SSO + audit logs</t>
  </si>
  <si>
    <t xml:space="preserve">SEPA Direct Debit + multi-currency (EU)</t>
  </si>
  <si>
    <t xml:space="preserve">Revenue recognition (ASC 606)</t>
  </si>
  <si>
    <t xml:space="preserve">Embedded payments / pay-by-bank (A2A)</t>
  </si>
  <si>
    <t xml:space="preserve">Multi-entity consolidation</t>
  </si>
  <si>
    <t xml:space="preserve">VALUE VS EFFORT QUADRANT</t>
  </si>
  <si>
    <t xml:space="preserve">Plotted from the Example tab — Value (weighted score) vs Effort</t>
  </si>
  <si>
    <t xml:space="preserve">Key</t>
  </si>
  <si>
    <t xml:space="preserve">Quadrants</t>
  </si>
  <si>
    <t xml:space="preserve">1</t>
  </si>
  <si>
    <t xml:space="preserve">High value, low effort — do these first.</t>
  </si>
  <si>
    <t xml:space="preserve">2</t>
  </si>
  <si>
    <t xml:space="preserve">High value, high effort — plan &amp; resource properly.</t>
  </si>
  <si>
    <t xml:space="preserve">3</t>
  </si>
  <si>
    <t xml:space="preserve">Low value, low effort — do if there's slack.</t>
  </si>
  <si>
    <t xml:space="preserve">4</t>
  </si>
  <si>
    <t xml:space="preserve">Low value, high effort — avoid / defer.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</si>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</sst>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"/>
    <numFmt numFmtId="167" formatCode="0.##"/>
    <numFmt numFmtId="168" formatCode="0.0"/>
    <numFmt numFmtId="169" formatCode="General"/>
    <numFmt numFmtId="170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2"/>
      <color rgb="FFE8540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1"/>
      <color rgb="FFE8540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6B6B6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6B6B6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B0261A"/>
      </patternFill>
    </fill>
    <fill>
      <patternFill patternType="solid">
        <fgColor rgb="FFFCEDE6"/>
        <bgColor rgb="FFFFF3D6"/>
      </patternFill>
    </fill>
    <fill>
      <patternFill patternType="solid">
        <fgColor rgb="FFFFF7E6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A2E"/>
        <sz val="9"/>
      </font>
      <fill>
        <patternFill>
          <bgColor rgb="FFE3F4E1"/>
        </patternFill>
      </fill>
    </dxf>
    <dxf>
      <font>
        <name val="Arial"/>
        <charset val="1"/>
        <family val="0"/>
        <b val="1"/>
        <color rgb="FF9A6B00"/>
        <sz val="9"/>
      </font>
      <fill>
        <patternFill>
          <bgColor rgb="FFFFF3D6"/>
        </patternFill>
      </fill>
    </dxf>
    <dxf>
      <font>
        <name val="Arial"/>
        <charset val="1"/>
        <family val="0"/>
        <b val="1"/>
        <color rgb="FF5A5A5A"/>
        <sz val="9"/>
      </font>
      <fill>
        <patternFill>
          <bgColor rgb="FFEFEFEF"/>
        </patternFill>
      </fill>
    </dxf>
    <dxf>
      <font>
        <name val="Arial"/>
        <charset val="1"/>
        <family val="0"/>
        <b val="1"/>
        <color rgb="FFB0261A"/>
        <sz val="9"/>
      </font>
      <fill>
        <patternFill>
          <bgColor rgb="FFFBE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2E"/>
      <rgbColor rgb="FF000080"/>
      <rgbColor rgb="FF9A6B00"/>
      <rgbColor rgb="FF800080"/>
      <rgbColor rgb="FF008080"/>
      <rgbColor rgb="FFC0C0C0"/>
      <rgbColor rgb="FF878787"/>
      <rgbColor rgb="FF9999FF"/>
      <rgbColor rgb="FFB0261A"/>
      <rgbColor rgb="FFFFF3D6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DE6"/>
      <rgbColor rgb="FFE3F4E1"/>
      <rgbColor rgb="FFFFF7E6"/>
      <rgbColor rgb="FF99CCFF"/>
      <rgbColor rgb="FFFF99CC"/>
      <rgbColor rgb="FFCC99FF"/>
      <rgbColor rgb="FFFBE0DD"/>
      <rgbColor rgb="FF3366FF"/>
      <rgbColor rgb="FF33CCCC"/>
      <rgbColor rgb="FF99CC00"/>
      <rgbColor rgb="FFFFCC00"/>
      <rgbColor rgb="FFFF9900"/>
      <rgbColor rgb="FFE8540A"/>
      <rgbColor rgb="FF6B6B6B"/>
      <rgbColor rgb="FF969696"/>
      <rgbColor rgb="FF003366"/>
      <rgbColor rgb="FF339966"/>
      <rgbColor rgb="FF003300"/>
      <rgbColor rgb="FF333300"/>
      <rgbColor rgb="FFB23F06"/>
      <rgbColor rgb="FF993366"/>
      <rgbColor rgb="FF5A5A5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vs Effort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"Initiatives"</c:f>
              <c:strCache>
                <c:ptCount val="1"/>
                <c:pt idx="0">
                  <c:v>Initiatives</c:v>
                </c:pt>
              </c:strCache>
            </c:strRef>
          </c:tx>
          <c:spPr>
            <a:solidFill>
              <a:srgbClr val="e8540a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e8540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'RICE + Weighted — Example'!$F$11:$F$20</c:f>
              <c:numCache>
                <c:formatCode>0.0</c:formatCode>
                <c:ptCount val="10"/>
                <c:pt idx="0">
                  <c:v>1.5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7</c:v>
                </c:pt>
              </c:numCache>
            </c:numRef>
          </c:xVal>
          <c:yVal>
            <c:numRef>
              <c:f>'RICE + Weighted — Example'!$N$11:$N$20</c:f>
              <c:numCache>
                <c:formatCode>0</c:formatCode>
                <c:ptCount val="10"/>
                <c:pt idx="0">
                  <c:v>84</c:v>
                </c:pt>
                <c:pt idx="1">
                  <c:v>62</c:v>
                </c:pt>
                <c:pt idx="2">
                  <c:v>94</c:v>
                </c:pt>
                <c:pt idx="3">
                  <c:v>79</c:v>
                </c:pt>
                <c:pt idx="4">
                  <c:v>81</c:v>
                </c:pt>
                <c:pt idx="5">
                  <c:v>71</c:v>
                </c:pt>
                <c:pt idx="6">
                  <c:v>90</c:v>
                </c:pt>
                <c:pt idx="7">
                  <c:v>78</c:v>
                </c:pt>
                <c:pt idx="8">
                  <c:v>61</c:v>
                </c:pt>
                <c:pt idx="9">
                  <c:v>54</c:v>
                </c:pt>
              </c:numCache>
            </c:numRef>
          </c:yVal>
          <c:smooth val="1"/>
        </c:ser>
        <c:axId val="86839090"/>
        <c:axId val="34372543"/>
      </c:scatterChart>
      <c:valAx>
        <c:axId val="86839090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Effort (person-months) 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72543"/>
        <c:crosses val="autoZero"/>
        <c:crossBetween val="midCat"/>
      </c:valAx>
      <c:valAx>
        <c:axId val="343725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score (0–100) 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390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9</xdr:col>
      <xdr:colOff>1722240</xdr:colOff>
      <xdr:row>24</xdr:row>
      <xdr:rowOff>149040</xdr:rowOff>
    </xdr:to>
    <xdr:graphicFrame>
      <xdr:nvGraphicFramePr>
        <xdr:cNvPr id="0" name="Chart 1"/>
        <xdr:cNvGraphicFramePr/>
      </xdr:nvGraphicFramePr>
      <xdr:xfrm>
        <a:off x="141120" y="971640"/>
        <a:ext cx="719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74"/>
    <col collapsed="false" customWidth="true" hidden="false" outlineLevel="0" max="4" min="4" style="1" width="2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13.5" hidden="false" customHeight="true" outlineLevel="0" collapsed="false">
      <c r="A3" s="4" t="s">
        <v>2</v>
      </c>
      <c r="B3" s="4"/>
      <c r="C3" s="4"/>
    </row>
    <row r="5" customFormat="false" ht="21.75" hidden="false" customHeight="true" outlineLevel="0" collapsed="false">
      <c r="B5" s="5" t="s">
        <v>3</v>
      </c>
      <c r="C5" s="5"/>
    </row>
    <row r="6" customFormat="false" ht="61.5" hidden="false" customHeight="true" outlineLevel="0" collapsed="false">
      <c r="B6" s="6" t="s">
        <v>4</v>
      </c>
      <c r="C6" s="6"/>
    </row>
    <row r="7" customFormat="false" ht="21.75" hidden="false" customHeight="true" outlineLevel="0" collapsed="false">
      <c r="B7" s="5" t="s">
        <v>5</v>
      </c>
      <c r="C7" s="5"/>
    </row>
    <row r="8" customFormat="false" ht="27.75" hidden="false" customHeight="true" outlineLevel="0" collapsed="false">
      <c r="B8" s="7" t="s">
        <v>6</v>
      </c>
      <c r="C8" s="8" t="s">
        <v>7</v>
      </c>
    </row>
    <row r="9" customFormat="false" ht="27.75" hidden="false" customHeight="true" outlineLevel="0" collapsed="false">
      <c r="B9" s="7" t="s">
        <v>8</v>
      </c>
      <c r="C9" s="8" t="s">
        <v>9</v>
      </c>
    </row>
    <row r="10" customFormat="false" ht="27.75" hidden="false" customHeight="true" outlineLevel="0" collapsed="false">
      <c r="B10" s="7" t="s">
        <v>10</v>
      </c>
      <c r="C10" s="8" t="s">
        <v>11</v>
      </c>
    </row>
    <row r="11" customFormat="false" ht="27.75" hidden="false" customHeight="true" outlineLevel="0" collapsed="false">
      <c r="B11" s="7" t="s">
        <v>12</v>
      </c>
      <c r="C11" s="8" t="s">
        <v>13</v>
      </c>
    </row>
    <row r="12" customFormat="false" ht="27.75" hidden="false" customHeight="true" outlineLevel="0" collapsed="false">
      <c r="B12" s="7" t="s">
        <v>14</v>
      </c>
      <c r="C12" s="8" t="s">
        <v>15</v>
      </c>
    </row>
    <row r="13" customFormat="false" ht="21.75" hidden="false" customHeight="true" outlineLevel="0" collapsed="false">
      <c r="B13" s="5" t="s">
        <v>16</v>
      </c>
      <c r="C13" s="5"/>
    </row>
    <row r="14" customFormat="false" ht="61.5" hidden="false" customHeight="true" outlineLevel="0" collapsed="false">
      <c r="B14" s="6" t="s">
        <v>17</v>
      </c>
      <c r="C14" s="6"/>
    </row>
    <row r="15" customFormat="false" ht="21.75" hidden="false" customHeight="true" outlineLevel="0" collapsed="false">
      <c r="B15" s="5" t="s">
        <v>18</v>
      </c>
      <c r="C15" s="5"/>
    </row>
    <row r="16" customFormat="false" ht="27.75" hidden="false" customHeight="true" outlineLevel="0" collapsed="false">
      <c r="B16" s="7" t="s">
        <v>19</v>
      </c>
      <c r="C16" s="8" t="s">
        <v>20</v>
      </c>
    </row>
    <row r="17" customFormat="false" ht="27.75" hidden="false" customHeight="true" outlineLevel="0" collapsed="false">
      <c r="B17" s="7" t="s">
        <v>21</v>
      </c>
      <c r="C17" s="8" t="s">
        <v>22</v>
      </c>
    </row>
    <row r="18" customFormat="false" ht="27.75" hidden="false" customHeight="true" outlineLevel="0" collapsed="false">
      <c r="B18" s="7" t="s">
        <v>23</v>
      </c>
      <c r="C18" s="8" t="s">
        <v>24</v>
      </c>
    </row>
    <row r="19" customFormat="false" ht="27.75" hidden="false" customHeight="true" outlineLevel="0" collapsed="false">
      <c r="B19" s="7" t="s">
        <v>25</v>
      </c>
      <c r="C19" s="8" t="s">
        <v>26</v>
      </c>
    </row>
    <row r="20" customFormat="false" ht="21.75" hidden="false" customHeight="true" outlineLevel="0" collapsed="false">
      <c r="B20" s="5" t="s">
        <v>27</v>
      </c>
      <c r="C20" s="5"/>
    </row>
    <row r="21" customFormat="false" ht="25.5" hidden="false" customHeight="true" outlineLevel="0" collapsed="false">
      <c r="B21" s="6" t="s">
        <v>28</v>
      </c>
      <c r="C21" s="6"/>
    </row>
    <row r="22" customFormat="false" ht="25.5" hidden="false" customHeight="true" outlineLevel="0" collapsed="false">
      <c r="B22" s="6" t="s">
        <v>29</v>
      </c>
      <c r="C22" s="6"/>
    </row>
    <row r="23" customFormat="false" ht="25.5" hidden="false" customHeight="true" outlineLevel="0" collapsed="false">
      <c r="B23" s="6" t="s">
        <v>30</v>
      </c>
      <c r="C23" s="6"/>
    </row>
    <row r="24" customFormat="false" ht="25.5" hidden="false" customHeight="true" outlineLevel="0" collapsed="false">
      <c r="B24" s="6" t="s">
        <v>31</v>
      </c>
      <c r="C24" s="6"/>
    </row>
    <row r="26" customFormat="false" ht="15" hidden="false" customHeight="false" outlineLevel="0" collapsed="false">
      <c r="A26" s="9" t="s">
        <v>32</v>
      </c>
      <c r="B26" s="9"/>
      <c r="C26" s="9"/>
    </row>
  </sheetData>
  <mergeCells count="15">
    <mergeCell ref="A1:C1"/>
    <mergeCell ref="A2:C2"/>
    <mergeCell ref="A3:C3"/>
    <mergeCell ref="B5:C5"/>
    <mergeCell ref="B6:C6"/>
    <mergeCell ref="B7:C7"/>
    <mergeCell ref="B13:C13"/>
    <mergeCell ref="B14:C14"/>
    <mergeCell ref="B15:C15"/>
    <mergeCell ref="B20:C20"/>
    <mergeCell ref="B21:C21"/>
    <mergeCell ref="B22:C22"/>
    <mergeCell ref="B23:C23"/>
    <mergeCell ref="B24:C2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6" min="5" style="1" width="11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4" min="13" style="1" width="12"/>
    <col collapsed="false" customWidth="true" hidden="false" outlineLevel="0" max="15" min="15" style="1" width="7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15" hidden="false" customHeight="false" outlineLevel="0" collapsed="false">
      <c r="B5" s="10" t="s">
        <v>34</v>
      </c>
    </row>
    <row r="6" customFormat="false" ht="15" hidden="false" customHeight="false" outlineLevel="0" collapsed="false">
      <c r="B6" s="11" t="s">
        <v>35</v>
      </c>
      <c r="C6" s="12" t="s">
        <v>36</v>
      </c>
      <c r="D6" s="13" t="n">
        <v>60</v>
      </c>
      <c r="E6" s="12" t="s">
        <v>37</v>
      </c>
      <c r="F6" s="13" t="n">
        <v>4</v>
      </c>
    </row>
    <row r="7" customFormat="false" ht="13.5" hidden="false" customHeight="true" outlineLevel="0" collapsed="false">
      <c r="B7" s="14" t="s">
        <v>38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9" customFormat="false" ht="30" hidden="false" customHeight="true" outlineLevel="0" collapsed="false">
      <c r="A9" s="15" t="s">
        <v>39</v>
      </c>
      <c r="B9" s="15" t="s">
        <v>40</v>
      </c>
      <c r="C9" s="15" t="s">
        <v>41</v>
      </c>
      <c r="D9" s="15" t="s">
        <v>42</v>
      </c>
      <c r="E9" s="15" t="s">
        <v>10</v>
      </c>
      <c r="F9" s="15" t="s">
        <v>43</v>
      </c>
      <c r="G9" s="15" t="s">
        <v>44</v>
      </c>
      <c r="H9" s="15" t="s">
        <v>45</v>
      </c>
      <c r="I9" s="15" t="s">
        <v>46</v>
      </c>
      <c r="J9" s="15" t="s">
        <v>47</v>
      </c>
      <c r="K9" s="15" t="s">
        <v>48</v>
      </c>
      <c r="L9" s="15" t="s">
        <v>49</v>
      </c>
      <c r="M9" s="15" t="s">
        <v>50</v>
      </c>
      <c r="N9" s="15" t="s">
        <v>51</v>
      </c>
      <c r="O9" s="15" t="s">
        <v>52</v>
      </c>
      <c r="P9" s="15" t="s">
        <v>53</v>
      </c>
    </row>
    <row r="10" customFormat="false" ht="15" hidden="false" customHeight="false" outlineLevel="0" collapsed="false">
      <c r="B10" s="16" t="s">
        <v>54</v>
      </c>
      <c r="C10" s="16"/>
      <c r="D10" s="16"/>
      <c r="E10" s="16"/>
      <c r="F10" s="16"/>
      <c r="G10" s="16"/>
      <c r="H10" s="16"/>
      <c r="I10" s="17" t="n">
        <v>0.25</v>
      </c>
      <c r="J10" s="17" t="n">
        <v>0.25</v>
      </c>
      <c r="K10" s="17" t="n">
        <v>0.2</v>
      </c>
      <c r="L10" s="17" t="n">
        <v>0.15</v>
      </c>
      <c r="M10" s="17" t="n">
        <v>0.15</v>
      </c>
      <c r="N10" s="18" t="n">
        <f aca="false">SUM(I10:M10)</f>
        <v>1</v>
      </c>
      <c r="O10" s="19" t="s">
        <v>55</v>
      </c>
    </row>
    <row r="11" customFormat="false" ht="25.5" hidden="false" customHeight="true" outlineLevel="0" collapsed="false">
      <c r="A11" s="20" t="n">
        <v>1</v>
      </c>
      <c r="B11" s="21" t="s">
        <v>56</v>
      </c>
      <c r="C11" s="22" t="n">
        <v>1500</v>
      </c>
      <c r="D11" s="23" t="n">
        <v>2</v>
      </c>
      <c r="E11" s="24" t="n">
        <v>1</v>
      </c>
      <c r="F11" s="25" t="n">
        <v>1.5</v>
      </c>
      <c r="G11" s="26" t="n">
        <f aca="false">IF(OR(F11="",F11=0),"",(C11*D11*E11)/F11)</f>
        <v>2000</v>
      </c>
      <c r="H11" s="27" t="n">
        <f aca="false">IF(G11="","",RANK(G11,$G$11:$G$20))</f>
        <v>1</v>
      </c>
      <c r="I11" s="28" t="n">
        <v>4</v>
      </c>
      <c r="J11" s="28" t="n">
        <v>4</v>
      </c>
      <c r="K11" s="28" t="n">
        <v>5</v>
      </c>
      <c r="L11" s="28" t="n">
        <v>3</v>
      </c>
      <c r="M11" s="28" t="n">
        <v>5</v>
      </c>
      <c r="N11" s="29" t="n">
        <f aca="false">IF(COUNT(I11:M11)&lt;5,"",SUMPRODUCT(I11:M11,$I$10:$M$10)*20)</f>
        <v>84</v>
      </c>
      <c r="O11" s="27" t="n">
        <f aca="false">IF(N11="","",RANK(N11,$N$11:$N$20))</f>
        <v>3</v>
      </c>
      <c r="P11" s="30" t="str">
        <f aca="false">IF(OR(N11="",F11=""),"",IF(AND(N11&gt;=$D$6,F11&lt;=$F$6),"Quick win",IF(AND(N11&gt;=$D$6,F11&gt;$F$6),"Big bet",IF(AND(N11&lt;$D$6,F11&lt;=$F$6),"Fill-in","Time sink"))))</f>
        <v>Quick win</v>
      </c>
    </row>
    <row r="12" customFormat="false" ht="25.5" hidden="false" customHeight="true" outlineLevel="0" collapsed="false">
      <c r="A12" s="20" t="n">
        <v>2</v>
      </c>
      <c r="B12" s="21" t="s">
        <v>57</v>
      </c>
      <c r="C12" s="22" t="n">
        <v>2000</v>
      </c>
      <c r="D12" s="23" t="n">
        <v>1</v>
      </c>
      <c r="E12" s="24" t="n">
        <v>1</v>
      </c>
      <c r="F12" s="25" t="n">
        <v>1</v>
      </c>
      <c r="G12" s="26" t="n">
        <f aca="false">IF(OR(F12="",F12=0),"",(C12*D12*E12)/F12)</f>
        <v>2000</v>
      </c>
      <c r="H12" s="27" t="n">
        <f aca="false">IF(G12="","",RANK(G12,$G$11:$G$20))</f>
        <v>1</v>
      </c>
      <c r="I12" s="28" t="n">
        <v>3</v>
      </c>
      <c r="J12" s="28" t="n">
        <v>2</v>
      </c>
      <c r="K12" s="28" t="n">
        <v>4</v>
      </c>
      <c r="L12" s="28" t="n">
        <v>2</v>
      </c>
      <c r="M12" s="28" t="n">
        <v>5</v>
      </c>
      <c r="N12" s="29" t="n">
        <f aca="false">IF(COUNT(I12:M12)&lt;5,"",SUMPRODUCT(I12:M12,$I$10:$M$10)*20)</f>
        <v>62</v>
      </c>
      <c r="O12" s="27" t="n">
        <f aca="false">IF(N12="","",RANK(N12,$N$11:$N$20))</f>
        <v>8</v>
      </c>
      <c r="P12" s="30" t="str">
        <f aca="false">IF(OR(N12="",F12=""),"",IF(AND(N12&gt;=$D$6,F12&lt;=$F$6),"Quick win",IF(AND(N12&gt;=$D$6,F12&gt;$F$6),"Big bet",IF(AND(N12&lt;$D$6,F12&lt;=$F$6),"Fill-in","Time sink"))))</f>
        <v>Quick win</v>
      </c>
    </row>
    <row r="13" customFormat="false" ht="25.5" hidden="false" customHeight="true" outlineLevel="0" collapsed="false">
      <c r="A13" s="20" t="n">
        <v>3</v>
      </c>
      <c r="B13" s="21" t="s">
        <v>58</v>
      </c>
      <c r="C13" s="22" t="n">
        <v>1200</v>
      </c>
      <c r="D13" s="23" t="n">
        <v>3</v>
      </c>
      <c r="E13" s="24" t="n">
        <v>0.8</v>
      </c>
      <c r="F13" s="25" t="n">
        <v>4</v>
      </c>
      <c r="G13" s="26" t="n">
        <f aca="false">IF(OR(F13="",F13=0),"",(C13*D13*E13)/F13)</f>
        <v>720</v>
      </c>
      <c r="H13" s="27" t="n">
        <f aca="false">IF(G13="","",RANK(G13,$G$11:$G$20))</f>
        <v>3</v>
      </c>
      <c r="I13" s="28" t="n">
        <v>5</v>
      </c>
      <c r="J13" s="28" t="n">
        <v>5</v>
      </c>
      <c r="K13" s="28" t="n">
        <v>5</v>
      </c>
      <c r="L13" s="28" t="n">
        <v>4</v>
      </c>
      <c r="M13" s="28" t="n">
        <v>4</v>
      </c>
      <c r="N13" s="29" t="n">
        <f aca="false">IF(COUNT(I13:M13)&lt;5,"",SUMPRODUCT(I13:M13,$I$10:$M$10)*20)</f>
        <v>94</v>
      </c>
      <c r="O13" s="27" t="n">
        <f aca="false">IF(N13="","",RANK(N13,$N$11:$N$20))</f>
        <v>1</v>
      </c>
      <c r="P13" s="30" t="str">
        <f aca="false">IF(OR(N13="",F13=""),"",IF(AND(N13&gt;=$D$6,F13&lt;=$F$6),"Quick win",IF(AND(N13&gt;=$D$6,F13&gt;$F$6),"Big bet",IF(AND(N13&lt;$D$6,F13&lt;=$F$6),"Fill-in","Time sink"))))</f>
        <v>Quick win</v>
      </c>
    </row>
    <row r="14" customFormat="false" ht="25.5" hidden="false" customHeight="true" outlineLevel="0" collapsed="false">
      <c r="A14" s="20" t="n">
        <v>4</v>
      </c>
      <c r="B14" s="21" t="s">
        <v>59</v>
      </c>
      <c r="C14" s="22" t="n">
        <v>800</v>
      </c>
      <c r="D14" s="23" t="n">
        <v>2</v>
      </c>
      <c r="E14" s="24" t="n">
        <v>1</v>
      </c>
      <c r="F14" s="25" t="n">
        <v>3</v>
      </c>
      <c r="G14" s="26" t="n">
        <f aca="false">IF(OR(F14="",F14=0),"",(C14*D14*E14)/F14)</f>
        <v>533.333333333333</v>
      </c>
      <c r="H14" s="27" t="n">
        <f aca="false">IF(G14="","",RANK(G14,$G$11:$G$20))</f>
        <v>4</v>
      </c>
      <c r="I14" s="28" t="n">
        <v>4</v>
      </c>
      <c r="J14" s="28" t="n">
        <v>3</v>
      </c>
      <c r="K14" s="28" t="n">
        <v>5</v>
      </c>
      <c r="L14" s="28" t="n">
        <v>3</v>
      </c>
      <c r="M14" s="28" t="n">
        <v>5</v>
      </c>
      <c r="N14" s="29" t="n">
        <f aca="false">IF(COUNT(I14:M14)&lt;5,"",SUMPRODUCT(I14:M14,$I$10:$M$10)*20)</f>
        <v>79</v>
      </c>
      <c r="O14" s="27" t="n">
        <f aca="false">IF(N14="","",RANK(N14,$N$11:$N$20))</f>
        <v>5</v>
      </c>
      <c r="P14" s="30" t="str">
        <f aca="false">IF(OR(N14="",F14=""),"",IF(AND(N14&gt;=$D$6,F14&lt;=$F$6),"Quick win",IF(AND(N14&gt;=$D$6,F14&gt;$F$6),"Big bet",IF(AND(N14&lt;$D$6,F14&lt;=$F$6),"Fill-in","Time sink"))))</f>
        <v>Quick win</v>
      </c>
    </row>
    <row r="15" customFormat="false" ht="25.5" hidden="false" customHeight="true" outlineLevel="0" collapsed="false">
      <c r="A15" s="20" t="n">
        <v>5</v>
      </c>
      <c r="B15" s="21" t="s">
        <v>60</v>
      </c>
      <c r="C15" s="22" t="n">
        <v>1200</v>
      </c>
      <c r="D15" s="23" t="n">
        <v>3</v>
      </c>
      <c r="E15" s="24" t="n">
        <v>0.5</v>
      </c>
      <c r="F15" s="25" t="n">
        <v>6</v>
      </c>
      <c r="G15" s="26" t="n">
        <f aca="false">IF(OR(F15="",F15=0),"",(C15*D15*E15)/F15)</f>
        <v>300</v>
      </c>
      <c r="H15" s="27" t="n">
        <f aca="false">IF(G15="","",RANK(G15,$G$11:$G$20))</f>
        <v>5</v>
      </c>
      <c r="I15" s="28" t="n">
        <v>5</v>
      </c>
      <c r="J15" s="28" t="n">
        <v>5</v>
      </c>
      <c r="K15" s="28" t="n">
        <v>4</v>
      </c>
      <c r="L15" s="28" t="n">
        <v>3</v>
      </c>
      <c r="M15" s="28" t="n">
        <v>2</v>
      </c>
      <c r="N15" s="29" t="n">
        <f aca="false">IF(COUNT(I15:M15)&lt;5,"",SUMPRODUCT(I15:M15,$I$10:$M$10)*20)</f>
        <v>81</v>
      </c>
      <c r="O15" s="27" t="n">
        <f aca="false">IF(N15="","",RANK(N15,$N$11:$N$20))</f>
        <v>4</v>
      </c>
      <c r="P15" s="30" t="str">
        <f aca="false">IF(OR(N15="",F15=""),"",IF(AND(N15&gt;=$D$6,F15&lt;=$F$6),"Quick win",IF(AND(N15&gt;=$D$6,F15&gt;$F$6),"Big bet",IF(AND(N15&lt;$D$6,F15&lt;=$F$6),"Fill-in","Time sink"))))</f>
        <v>Big bet</v>
      </c>
    </row>
    <row r="16" customFormat="false" ht="25.5" hidden="false" customHeight="true" outlineLevel="0" collapsed="false">
      <c r="A16" s="20" t="n">
        <v>6</v>
      </c>
      <c r="B16" s="21" t="s">
        <v>61</v>
      </c>
      <c r="C16" s="22" t="n">
        <v>200</v>
      </c>
      <c r="D16" s="23" t="n">
        <v>2</v>
      </c>
      <c r="E16" s="24" t="n">
        <v>0.8</v>
      </c>
      <c r="F16" s="25" t="n">
        <v>2</v>
      </c>
      <c r="G16" s="26" t="n">
        <f aca="false">IF(OR(F16="",F16=0),"",(C16*D16*E16)/F16)</f>
        <v>160</v>
      </c>
      <c r="H16" s="27" t="n">
        <f aca="false">IF(G16="","",RANK(G16,$G$11:$G$20))</f>
        <v>6</v>
      </c>
      <c r="I16" s="28" t="n">
        <v>4</v>
      </c>
      <c r="J16" s="28" t="n">
        <v>3</v>
      </c>
      <c r="K16" s="28" t="n">
        <v>3</v>
      </c>
      <c r="L16" s="28" t="n">
        <v>4</v>
      </c>
      <c r="M16" s="28" t="n">
        <v>4</v>
      </c>
      <c r="N16" s="29" t="n">
        <f aca="false">IF(COUNT(I16:M16)&lt;5,"",SUMPRODUCT(I16:M16,$I$10:$M$10)*20)</f>
        <v>71</v>
      </c>
      <c r="O16" s="27" t="n">
        <f aca="false">IF(N16="","",RANK(N16,$N$11:$N$20))</f>
        <v>7</v>
      </c>
      <c r="P16" s="30" t="str">
        <f aca="false">IF(OR(N16="",F16=""),"",IF(AND(N16&gt;=$D$6,F16&lt;=$F$6),"Quick win",IF(AND(N16&gt;=$D$6,F16&gt;$F$6),"Big bet",IF(AND(N16&lt;$D$6,F16&lt;=$F$6),"Fill-in","Time sink"))))</f>
        <v>Quick win</v>
      </c>
    </row>
    <row r="17" customFormat="false" ht="25.5" hidden="false" customHeight="true" outlineLevel="0" collapsed="false">
      <c r="A17" s="20" t="n">
        <v>7</v>
      </c>
      <c r="B17" s="21" t="s">
        <v>62</v>
      </c>
      <c r="C17" s="22" t="n">
        <v>300</v>
      </c>
      <c r="D17" s="23" t="n">
        <v>3</v>
      </c>
      <c r="E17" s="24" t="n">
        <v>0.5</v>
      </c>
      <c r="F17" s="25" t="n">
        <v>6</v>
      </c>
      <c r="G17" s="26" t="n">
        <f aca="false">IF(OR(F17="",F17=0),"",(C17*D17*E17)/F17)</f>
        <v>75</v>
      </c>
      <c r="H17" s="27" t="n">
        <f aca="false">IF(G17="","",RANK(G17,$G$11:$G$20))</f>
        <v>7</v>
      </c>
      <c r="I17" s="28" t="n">
        <v>5</v>
      </c>
      <c r="J17" s="28" t="n">
        <v>5</v>
      </c>
      <c r="K17" s="28" t="n">
        <v>4</v>
      </c>
      <c r="L17" s="28" t="n">
        <v>5</v>
      </c>
      <c r="M17" s="28" t="n">
        <v>3</v>
      </c>
      <c r="N17" s="29" t="n">
        <f aca="false">IF(COUNT(I17:M17)&lt;5,"",SUMPRODUCT(I17:M17,$I$10:$M$10)*20)</f>
        <v>90</v>
      </c>
      <c r="O17" s="27" t="n">
        <f aca="false">IF(N17="","",RANK(N17,$N$11:$N$20))</f>
        <v>2</v>
      </c>
      <c r="P17" s="30" t="str">
        <f aca="false">IF(OR(N17="",F17=""),"",IF(AND(N17&gt;=$D$6,F17&lt;=$F$6),"Quick win",IF(AND(N17&gt;=$D$6,F17&gt;$F$6),"Big bet",IF(AND(N17&lt;$D$6,F17&lt;=$F$6),"Fill-in","Time sink"))))</f>
        <v>Big bet</v>
      </c>
    </row>
    <row r="18" customFormat="false" ht="25.5" hidden="false" customHeight="true" outlineLevel="0" collapsed="false">
      <c r="A18" s="20" t="n">
        <v>8</v>
      </c>
      <c r="B18" s="21" t="s">
        <v>63</v>
      </c>
      <c r="C18" s="22" t="n">
        <v>150</v>
      </c>
      <c r="D18" s="23" t="n">
        <v>3</v>
      </c>
      <c r="E18" s="24" t="n">
        <v>0.5</v>
      </c>
      <c r="F18" s="25" t="n">
        <v>8</v>
      </c>
      <c r="G18" s="26" t="n">
        <f aca="false">IF(OR(F18="",F18=0),"",(C18*D18*E18)/F18)</f>
        <v>28.125</v>
      </c>
      <c r="H18" s="27" t="n">
        <f aca="false">IF(G18="","",RANK(G18,$G$11:$G$20))</f>
        <v>8</v>
      </c>
      <c r="I18" s="28" t="n">
        <v>5</v>
      </c>
      <c r="J18" s="28" t="n">
        <v>4</v>
      </c>
      <c r="K18" s="28" t="n">
        <v>3</v>
      </c>
      <c r="L18" s="28" t="n">
        <v>5</v>
      </c>
      <c r="M18" s="28" t="n">
        <v>2</v>
      </c>
      <c r="N18" s="29" t="n">
        <f aca="false">IF(COUNT(I18:M18)&lt;5,"",SUMPRODUCT(I18:M18,$I$10:$M$10)*20)</f>
        <v>78</v>
      </c>
      <c r="O18" s="27" t="n">
        <f aca="false">IF(N18="","",RANK(N18,$N$11:$N$20))</f>
        <v>6</v>
      </c>
      <c r="P18" s="30" t="str">
        <f aca="false">IF(OR(N18="",F18=""),"",IF(AND(N18&gt;=$D$6,F18&lt;=$F$6),"Quick win",IF(AND(N18&gt;=$D$6,F18&gt;$F$6),"Big bet",IF(AND(N18&lt;$D$6,F18&lt;=$F$6),"Fill-in","Time sink"))))</f>
        <v>Big bet</v>
      </c>
    </row>
    <row r="19" customFormat="false" ht="25.5" hidden="false" customHeight="true" outlineLevel="0" collapsed="false">
      <c r="A19" s="20" t="n">
        <v>9</v>
      </c>
      <c r="B19" s="21" t="s">
        <v>64</v>
      </c>
      <c r="C19" s="22" t="n">
        <v>500</v>
      </c>
      <c r="D19" s="23" t="n">
        <v>2</v>
      </c>
      <c r="E19" s="24" t="n">
        <v>0.25</v>
      </c>
      <c r="F19" s="25" t="n">
        <v>9</v>
      </c>
      <c r="G19" s="26" t="n">
        <f aca="false">IF(OR(F19="",F19=0),"",(C19*D19*E19)/F19)</f>
        <v>27.7777777777778</v>
      </c>
      <c r="H19" s="27" t="n">
        <f aca="false">IF(G19="","",RANK(G19,$G$11:$G$20))</f>
        <v>9</v>
      </c>
      <c r="I19" s="28" t="n">
        <v>4</v>
      </c>
      <c r="J19" s="28" t="n">
        <v>4</v>
      </c>
      <c r="K19" s="28" t="n">
        <v>3</v>
      </c>
      <c r="L19" s="28" t="n">
        <v>2</v>
      </c>
      <c r="M19" s="28" t="n">
        <v>1</v>
      </c>
      <c r="N19" s="29" t="n">
        <f aca="false">IF(COUNT(I19:M19)&lt;5,"",SUMPRODUCT(I19:M19,$I$10:$M$10)*20)</f>
        <v>61</v>
      </c>
      <c r="O19" s="27" t="n">
        <f aca="false">IF(N19="","",RANK(N19,$N$11:$N$20))</f>
        <v>9</v>
      </c>
      <c r="P19" s="30" t="str">
        <f aca="false">IF(OR(N19="",F19=""),"",IF(AND(N19&gt;=$D$6,F19&lt;=$F$6),"Quick win",IF(AND(N19&gt;=$D$6,F19&gt;$F$6),"Big bet",IF(AND(N19&lt;$D$6,F19&lt;=$F$6),"Fill-in","Time sink"))))</f>
        <v>Big bet</v>
      </c>
    </row>
    <row r="20" customFormat="false" ht="25.5" hidden="false" customHeight="true" outlineLevel="0" collapsed="false">
      <c r="A20" s="20" t="n">
        <v>10</v>
      </c>
      <c r="B20" s="21" t="s">
        <v>65</v>
      </c>
      <c r="C20" s="22" t="n">
        <v>80</v>
      </c>
      <c r="D20" s="23" t="n">
        <v>2</v>
      </c>
      <c r="E20" s="24" t="n">
        <v>0.5</v>
      </c>
      <c r="F20" s="25" t="n">
        <v>7</v>
      </c>
      <c r="G20" s="26" t="n">
        <f aca="false">IF(OR(F20="",F20=0),"",(C20*D20*E20)/F20)</f>
        <v>11.4285714285714</v>
      </c>
      <c r="H20" s="27" t="n">
        <f aca="false">IF(G20="","",RANK(G20,$G$11:$G$20))</f>
        <v>10</v>
      </c>
      <c r="I20" s="28" t="n">
        <v>3</v>
      </c>
      <c r="J20" s="28" t="n">
        <v>3</v>
      </c>
      <c r="K20" s="28" t="n">
        <v>3</v>
      </c>
      <c r="L20" s="28" t="n">
        <v>2</v>
      </c>
      <c r="M20" s="28" t="n">
        <v>2</v>
      </c>
      <c r="N20" s="29" t="n">
        <f aca="false">IF(COUNT(I20:M20)&lt;5,"",SUMPRODUCT(I20:M20,$I$10:$M$10)*20)</f>
        <v>54</v>
      </c>
      <c r="O20" s="27" t="n">
        <f aca="false">IF(N20="","",RANK(N20,$N$11:$N$20))</f>
        <v>10</v>
      </c>
      <c r="P20" s="30" t="str">
        <f aca="false">IF(OR(N20="",F20=""),"",IF(AND(N20&gt;=$D$6,F20&lt;=$F$6),"Quick win",IF(AND(N20&gt;=$D$6,F20&gt;$F$6),"Big bet",IF(AND(N20&lt;$D$6,F20&lt;=$F$6),"Fill-in","Time sink"))))</f>
        <v>Time sink</v>
      </c>
    </row>
    <row r="22" customFormat="false" ht="15" hidden="false" customHeight="false" outlineLevel="0" collapsed="false">
      <c r="A22" s="9" t="s">
        <v>32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</sheetData>
  <mergeCells count="6">
    <mergeCell ref="A1:P1"/>
    <mergeCell ref="A2:P2"/>
    <mergeCell ref="A3:P3"/>
    <mergeCell ref="B7:P7"/>
    <mergeCell ref="B10:H10"/>
    <mergeCell ref="A22:P22"/>
  </mergeCells>
  <conditionalFormatting sqref="G11:G20">
    <cfRule type="colorScale" priority="2">
      <colorScale>
        <cfvo type="min" val="0"/>
        <cfvo type="max" val="0"/>
        <color rgb="FFFFFFFF"/>
        <color rgb="FFFBDFD0"/>
      </colorScale>
    </cfRule>
  </conditionalFormatting>
  <conditionalFormatting sqref="N11:N20">
    <cfRule type="colorScale" priority="3">
      <colorScale>
        <cfvo type="min" val="0"/>
        <cfvo type="max" val="0"/>
        <color rgb="FFFFFFFF"/>
        <color rgb="FFFBDFD0"/>
      </colorScale>
    </cfRule>
  </conditionalFormatting>
  <conditionalFormatting sqref="P11:P20">
    <cfRule type="expression" priority="4" aboveAverage="0" equalAverage="0" bottom="0" percent="0" rank="0" text="" dxfId="0">
      <formula>$P11="Quick win"</formula>
    </cfRule>
    <cfRule type="expression" priority="5" aboveAverage="0" equalAverage="0" bottom="0" percent="0" rank="0" text="" dxfId="1">
      <formula>$P11="Big bet"</formula>
    </cfRule>
    <cfRule type="expression" priority="6" aboveAverage="0" equalAverage="0" bottom="0" percent="0" rank="0" text="" dxfId="2">
      <formula>$P11="Fill-in"</formula>
    </cfRule>
    <cfRule type="expression" priority="7" aboveAverage="0" equalAverage="0" bottom="0" percent="0" rank="0" text="" dxfId="3">
      <formula>$P11="Time sink"</formula>
    </cfRule>
  </conditionalFormatting>
  <dataValidations count="3">
    <dataValidation allowBlank="true" errorStyle="stop" operator="between" showDropDown="false" showErrorMessage="false" showInputMessage="false" sqref="D11:D20" type="list">
      <formula1>"3,2,1,0.5,0.25"</formula1>
      <formula2>0</formula2>
    </dataValidation>
    <dataValidation allowBlank="true" errorStyle="stop" operator="between" showDropDown="false" showErrorMessage="false" showInputMessage="false" sqref="E11:E20" type="list">
      <formula1>"1,0.8,0.5,0.25"</formula1>
      <formula2>0</formula2>
    </dataValidation>
    <dataValidation allowBlank="true" errorStyle="stop" operator="between" showDropDown="false" showErrorMessage="false" showInputMessage="false" sqref="I11:M2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8" min="8" style="1" width="2"/>
    <col collapsed="false" customWidth="true" hidden="false" outlineLevel="0" max="9" min="9" style="1" width="22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67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28" customFormat="false" ht="15" hidden="false" customHeight="false" outlineLevel="0" collapsed="false">
      <c r="B28" s="10" t="s">
        <v>68</v>
      </c>
      <c r="I28" s="10" t="s">
        <v>69</v>
      </c>
    </row>
    <row r="29" customFormat="false" ht="15" hidden="false" customHeight="false" outlineLevel="0" collapsed="false">
      <c r="B29" s="31" t="s">
        <v>70</v>
      </c>
      <c r="C29" s="32" t="s">
        <v>56</v>
      </c>
      <c r="D29" s="32"/>
      <c r="E29" s="32"/>
      <c r="F29" s="32"/>
      <c r="G29" s="32"/>
      <c r="I29" s="11" t="s">
        <v>19</v>
      </c>
      <c r="J29" s="33" t="s">
        <v>71</v>
      </c>
    </row>
    <row r="30" customFormat="false" ht="15" hidden="false" customHeight="false" outlineLevel="0" collapsed="false">
      <c r="B30" s="31" t="s">
        <v>72</v>
      </c>
      <c r="C30" s="32" t="s">
        <v>57</v>
      </c>
      <c r="D30" s="32"/>
      <c r="E30" s="32"/>
      <c r="F30" s="32"/>
      <c r="G30" s="32"/>
      <c r="I30" s="11" t="s">
        <v>21</v>
      </c>
      <c r="J30" s="33" t="s">
        <v>73</v>
      </c>
    </row>
    <row r="31" customFormat="false" ht="15" hidden="false" customHeight="false" outlineLevel="0" collapsed="false">
      <c r="B31" s="31" t="s">
        <v>74</v>
      </c>
      <c r="C31" s="32" t="s">
        <v>58</v>
      </c>
      <c r="D31" s="32"/>
      <c r="E31" s="32"/>
      <c r="F31" s="32"/>
      <c r="G31" s="32"/>
      <c r="I31" s="11" t="s">
        <v>23</v>
      </c>
      <c r="J31" s="33" t="s">
        <v>75</v>
      </c>
    </row>
    <row r="32" customFormat="false" ht="15" hidden="false" customHeight="false" outlineLevel="0" collapsed="false">
      <c r="B32" s="31" t="s">
        <v>76</v>
      </c>
      <c r="C32" s="32" t="s">
        <v>59</v>
      </c>
      <c r="D32" s="32"/>
      <c r="E32" s="32"/>
      <c r="F32" s="32"/>
      <c r="G32" s="32"/>
      <c r="I32" s="11" t="s">
        <v>25</v>
      </c>
      <c r="J32" s="33" t="s">
        <v>77</v>
      </c>
    </row>
    <row r="33" customFormat="false" ht="15" hidden="false" customHeight="false" outlineLevel="0" collapsed="false">
      <c r="B33" s="31" t="s">
        <v>78</v>
      </c>
      <c r="C33" s="32" t="s">
        <v>60</v>
      </c>
      <c r="D33" s="32"/>
      <c r="E33" s="32"/>
      <c r="F33" s="32"/>
      <c r="G33" s="32"/>
    </row>
    <row r="34" customFormat="false" ht="15" hidden="false" customHeight="false" outlineLevel="0" collapsed="false">
      <c r="B34" s="31" t="s">
        <v>79</v>
      </c>
      <c r="C34" s="32" t="s">
        <v>61</v>
      </c>
      <c r="D34" s="32"/>
      <c r="E34" s="32"/>
      <c r="F34" s="32"/>
      <c r="G34" s="32"/>
    </row>
    <row r="35" customFormat="false" ht="15" hidden="false" customHeight="false" outlineLevel="0" collapsed="false">
      <c r="B35" s="31" t="s">
        <v>80</v>
      </c>
      <c r="C35" s="32" t="s">
        <v>62</v>
      </c>
      <c r="D35" s="32"/>
      <c r="E35" s="32"/>
      <c r="F35" s="32"/>
      <c r="G35" s="32"/>
    </row>
    <row r="36" customFormat="false" ht="15" hidden="false" customHeight="false" outlineLevel="0" collapsed="false">
      <c r="B36" s="31" t="s">
        <v>81</v>
      </c>
      <c r="C36" s="32" t="s">
        <v>63</v>
      </c>
      <c r="D36" s="32"/>
      <c r="E36" s="32"/>
      <c r="F36" s="32"/>
      <c r="G36" s="32"/>
    </row>
    <row r="37" customFormat="false" ht="15" hidden="false" customHeight="false" outlineLevel="0" collapsed="false">
      <c r="B37" s="31" t="s">
        <v>82</v>
      </c>
      <c r="C37" s="32" t="s">
        <v>64</v>
      </c>
      <c r="D37" s="32"/>
      <c r="E37" s="32"/>
      <c r="F37" s="32"/>
      <c r="G37" s="32"/>
    </row>
    <row r="38" customFormat="false" ht="15" hidden="false" customHeight="false" outlineLevel="0" collapsed="false">
      <c r="B38" s="31" t="s">
        <v>83</v>
      </c>
      <c r="C38" s="32" t="s">
        <v>65</v>
      </c>
      <c r="D38" s="32"/>
      <c r="E38" s="32"/>
      <c r="F38" s="32"/>
      <c r="G38" s="32"/>
    </row>
    <row r="40" customFormat="false" ht="15" hidden="false" customHeight="false" outlineLevel="0" collapsed="false">
      <c r="A40" s="9" t="s">
        <v>32</v>
      </c>
      <c r="B40" s="9"/>
      <c r="C40" s="9"/>
      <c r="D40" s="9"/>
      <c r="E40" s="9"/>
      <c r="F40" s="9"/>
      <c r="G40" s="9"/>
      <c r="H40" s="9"/>
      <c r="I40" s="9"/>
      <c r="J40" s="9"/>
    </row>
  </sheetData>
  <mergeCells count="14">
    <mergeCell ref="A1:J1"/>
    <mergeCell ref="A2:J2"/>
    <mergeCell ref="A3:J3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A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6" min="5" style="1" width="11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4" min="13" style="1" width="12"/>
    <col collapsed="false" customWidth="true" hidden="false" outlineLevel="0" max="15" min="15" style="1" width="7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15" hidden="false" customHeight="false" outlineLevel="0" collapsed="false">
      <c r="B5" s="10" t="s">
        <v>34</v>
      </c>
    </row>
    <row r="6" customFormat="false" ht="15" hidden="false" customHeight="false" outlineLevel="0" collapsed="false">
      <c r="B6" s="11" t="s">
        <v>35</v>
      </c>
      <c r="C6" s="12" t="s">
        <v>36</v>
      </c>
      <c r="D6" s="13" t="n">
        <v>60</v>
      </c>
      <c r="E6" s="12" t="s">
        <v>37</v>
      </c>
      <c r="F6" s="13" t="n">
        <v>4</v>
      </c>
    </row>
    <row r="7" customFormat="false" ht="13.5" hidden="false" customHeight="true" outlineLevel="0" collapsed="false">
      <c r="B7" s="14" t="s">
        <v>38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9" customFormat="false" ht="30" hidden="false" customHeight="true" outlineLevel="0" collapsed="false">
      <c r="A9" s="15" t="s">
        <v>39</v>
      </c>
      <c r="B9" s="15" t="s">
        <v>40</v>
      </c>
      <c r="C9" s="15" t="s">
        <v>41</v>
      </c>
      <c r="D9" s="15" t="s">
        <v>42</v>
      </c>
      <c r="E9" s="15" t="s">
        <v>10</v>
      </c>
      <c r="F9" s="15" t="s">
        <v>43</v>
      </c>
      <c r="G9" s="15" t="s">
        <v>44</v>
      </c>
      <c r="H9" s="15" t="s">
        <v>45</v>
      </c>
      <c r="I9" s="15" t="s">
        <v>46</v>
      </c>
      <c r="J9" s="15" t="s">
        <v>47</v>
      </c>
      <c r="K9" s="15" t="s">
        <v>48</v>
      </c>
      <c r="L9" s="15" t="s">
        <v>49</v>
      </c>
      <c r="M9" s="15" t="s">
        <v>50</v>
      </c>
      <c r="N9" s="15" t="s">
        <v>51</v>
      </c>
      <c r="O9" s="15" t="s">
        <v>52</v>
      </c>
      <c r="P9" s="15" t="s">
        <v>53</v>
      </c>
    </row>
    <row r="10" customFormat="false" ht="15" hidden="false" customHeight="false" outlineLevel="0" collapsed="false">
      <c r="B10" s="16" t="s">
        <v>54</v>
      </c>
      <c r="C10" s="16"/>
      <c r="D10" s="16"/>
      <c r="E10" s="16"/>
      <c r="F10" s="16"/>
      <c r="G10" s="16"/>
      <c r="H10" s="16"/>
      <c r="I10" s="17" t="n">
        <v>0.25</v>
      </c>
      <c r="J10" s="17" t="n">
        <v>0.25</v>
      </c>
      <c r="K10" s="17" t="n">
        <v>0.2</v>
      </c>
      <c r="L10" s="17" t="n">
        <v>0.15</v>
      </c>
      <c r="M10" s="17" t="n">
        <v>0.15</v>
      </c>
      <c r="N10" s="18" t="n">
        <f aca="false">SUM(I10:M10)</f>
        <v>1</v>
      </c>
      <c r="O10" s="19" t="s">
        <v>55</v>
      </c>
    </row>
    <row r="11" customFormat="false" ht="25.5" hidden="false" customHeight="true" outlineLevel="0" collapsed="false">
      <c r="A11" s="20" t="n">
        <v>1</v>
      </c>
      <c r="B11" s="21"/>
      <c r="C11" s="22"/>
      <c r="D11" s="23"/>
      <c r="E11" s="24"/>
      <c r="F11" s="25"/>
      <c r="G11" s="26" t="str">
        <f aca="false">IF(OR(F11="",F11=0),"",(C11*D11*E11)/F11)</f>
        <v/>
      </c>
      <c r="H11" s="27" t="str">
        <f aca="false">IF(G11="","",RANK(G11,$G$11:$G$22))</f>
        <v/>
      </c>
      <c r="I11" s="28"/>
      <c r="J11" s="28"/>
      <c r="K11" s="28"/>
      <c r="L11" s="28"/>
      <c r="M11" s="28"/>
      <c r="N11" s="29" t="str">
        <f aca="false">IF(COUNT(I11:M11)&lt;5,"",SUMPRODUCT(I11:M11,$I$10:$M$10)*20)</f>
        <v/>
      </c>
      <c r="O11" s="27" t="str">
        <f aca="false">IF(N11="","",RANK(N11,$N$11:$N$22))</f>
        <v/>
      </c>
      <c r="P11" s="30" t="str">
        <f aca="false">IF(OR(N11="",F11=""),"",IF(AND(N11&gt;=$D$6,F11&lt;=$F$6),"Quick win",IF(AND(N11&gt;=$D$6,F11&gt;$F$6),"Big bet",IF(AND(N11&lt;$D$6,F11&lt;=$F$6),"Fill-in","Time sink"))))</f>
        <v/>
      </c>
    </row>
    <row r="12" customFormat="false" ht="25.5" hidden="false" customHeight="true" outlineLevel="0" collapsed="false">
      <c r="A12" s="20" t="n">
        <v>2</v>
      </c>
      <c r="B12" s="21"/>
      <c r="C12" s="22"/>
      <c r="D12" s="23"/>
      <c r="E12" s="24"/>
      <c r="F12" s="25"/>
      <c r="G12" s="26" t="str">
        <f aca="false">IF(OR(F12="",F12=0),"",(C12*D12*E12)/F12)</f>
        <v/>
      </c>
      <c r="H12" s="27" t="str">
        <f aca="false">IF(G12="","",RANK(G12,$G$11:$G$22))</f>
        <v/>
      </c>
      <c r="I12" s="28"/>
      <c r="J12" s="28"/>
      <c r="K12" s="28"/>
      <c r="L12" s="28"/>
      <c r="M12" s="28"/>
      <c r="N12" s="29" t="str">
        <f aca="false">IF(COUNT(I12:M12)&lt;5,"",SUMPRODUCT(I12:M12,$I$10:$M$10)*20)</f>
        <v/>
      </c>
      <c r="O12" s="27" t="str">
        <f aca="false">IF(N12="","",RANK(N12,$N$11:$N$22))</f>
        <v/>
      </c>
      <c r="P12" s="30" t="str">
        <f aca="false">IF(OR(N12="",F12=""),"",IF(AND(N12&gt;=$D$6,F12&lt;=$F$6),"Quick win",IF(AND(N12&gt;=$D$6,F12&gt;$F$6),"Big bet",IF(AND(N12&lt;$D$6,F12&lt;=$F$6),"Fill-in","Time sink"))))</f>
        <v/>
      </c>
    </row>
    <row r="13" customFormat="false" ht="25.5" hidden="false" customHeight="true" outlineLevel="0" collapsed="false">
      <c r="A13" s="20" t="n">
        <v>3</v>
      </c>
      <c r="B13" s="21"/>
      <c r="C13" s="22"/>
      <c r="D13" s="23"/>
      <c r="E13" s="24"/>
      <c r="F13" s="25"/>
      <c r="G13" s="26" t="str">
        <f aca="false">IF(OR(F13="",F13=0),"",(C13*D13*E13)/F13)</f>
        <v/>
      </c>
      <c r="H13" s="27" t="str">
        <f aca="false">IF(G13="","",RANK(G13,$G$11:$G$22))</f>
        <v/>
      </c>
      <c r="I13" s="28"/>
      <c r="J13" s="28"/>
      <c r="K13" s="28"/>
      <c r="L13" s="28"/>
      <c r="M13" s="28"/>
      <c r="N13" s="29" t="str">
        <f aca="false">IF(COUNT(I13:M13)&lt;5,"",SUMPRODUCT(I13:M13,$I$10:$M$10)*20)</f>
        <v/>
      </c>
      <c r="O13" s="27" t="str">
        <f aca="false">IF(N13="","",RANK(N13,$N$11:$N$22))</f>
        <v/>
      </c>
      <c r="P13" s="30" t="str">
        <f aca="false">IF(OR(N13="",F13=""),"",IF(AND(N13&gt;=$D$6,F13&lt;=$F$6),"Quick win",IF(AND(N13&gt;=$D$6,F13&gt;$F$6),"Big bet",IF(AND(N13&lt;$D$6,F13&lt;=$F$6),"Fill-in","Time sink"))))</f>
        <v/>
      </c>
    </row>
    <row r="14" customFormat="false" ht="25.5" hidden="false" customHeight="true" outlineLevel="0" collapsed="false">
      <c r="A14" s="20" t="n">
        <v>4</v>
      </c>
      <c r="B14" s="21"/>
      <c r="C14" s="22"/>
      <c r="D14" s="23"/>
      <c r="E14" s="24"/>
      <c r="F14" s="25"/>
      <c r="G14" s="26" t="str">
        <f aca="false">IF(OR(F14="",F14=0),"",(C14*D14*E14)/F14)</f>
        <v/>
      </c>
      <c r="H14" s="27" t="str">
        <f aca="false">IF(G14="","",RANK(G14,$G$11:$G$22))</f>
        <v/>
      </c>
      <c r="I14" s="28"/>
      <c r="J14" s="28"/>
      <c r="K14" s="28"/>
      <c r="L14" s="28"/>
      <c r="M14" s="28"/>
      <c r="N14" s="29" t="str">
        <f aca="false">IF(COUNT(I14:M14)&lt;5,"",SUMPRODUCT(I14:M14,$I$10:$M$10)*20)</f>
        <v/>
      </c>
      <c r="O14" s="27" t="str">
        <f aca="false">IF(N14="","",RANK(N14,$N$11:$N$22))</f>
        <v/>
      </c>
      <c r="P14" s="30" t="str">
        <f aca="false">IF(OR(N14="",F14=""),"",IF(AND(N14&gt;=$D$6,F14&lt;=$F$6),"Quick win",IF(AND(N14&gt;=$D$6,F14&gt;$F$6),"Big bet",IF(AND(N14&lt;$D$6,F14&lt;=$F$6),"Fill-in","Time sink"))))</f>
        <v/>
      </c>
    </row>
    <row r="15" customFormat="false" ht="25.5" hidden="false" customHeight="true" outlineLevel="0" collapsed="false">
      <c r="A15" s="20" t="n">
        <v>5</v>
      </c>
      <c r="B15" s="21"/>
      <c r="C15" s="22"/>
      <c r="D15" s="23"/>
      <c r="E15" s="24"/>
      <c r="F15" s="25"/>
      <c r="G15" s="26" t="str">
        <f aca="false">IF(OR(F15="",F15=0),"",(C15*D15*E15)/F15)</f>
        <v/>
      </c>
      <c r="H15" s="27" t="str">
        <f aca="false">IF(G15="","",RANK(G15,$G$11:$G$22))</f>
        <v/>
      </c>
      <c r="I15" s="28"/>
      <c r="J15" s="28"/>
      <c r="K15" s="28"/>
      <c r="L15" s="28"/>
      <c r="M15" s="28"/>
      <c r="N15" s="29" t="str">
        <f aca="false">IF(COUNT(I15:M15)&lt;5,"",SUMPRODUCT(I15:M15,$I$10:$M$10)*20)</f>
        <v/>
      </c>
      <c r="O15" s="27" t="str">
        <f aca="false">IF(N15="","",RANK(N15,$N$11:$N$22))</f>
        <v/>
      </c>
      <c r="P15" s="30" t="str">
        <f aca="false">IF(OR(N15="",F15=""),"",IF(AND(N15&gt;=$D$6,F15&lt;=$F$6),"Quick win",IF(AND(N15&gt;=$D$6,F15&gt;$F$6),"Big bet",IF(AND(N15&lt;$D$6,F15&lt;=$F$6),"Fill-in","Time sink"))))</f>
        <v/>
      </c>
    </row>
    <row r="16" customFormat="false" ht="25.5" hidden="false" customHeight="true" outlineLevel="0" collapsed="false">
      <c r="A16" s="20" t="n">
        <v>6</v>
      </c>
      <c r="B16" s="21"/>
      <c r="C16" s="22"/>
      <c r="D16" s="23"/>
      <c r="E16" s="24"/>
      <c r="F16" s="25"/>
      <c r="G16" s="26" t="str">
        <f aca="false">IF(OR(F16="",F16=0),"",(C16*D16*E16)/F16)</f>
        <v/>
      </c>
      <c r="H16" s="27" t="str">
        <f aca="false">IF(G16="","",RANK(G16,$G$11:$G$22))</f>
        <v/>
      </c>
      <c r="I16" s="28"/>
      <c r="J16" s="28"/>
      <c r="K16" s="28"/>
      <c r="L16" s="28"/>
      <c r="M16" s="28"/>
      <c r="N16" s="29" t="str">
        <f aca="false">IF(COUNT(I16:M16)&lt;5,"",SUMPRODUCT(I16:M16,$I$10:$M$10)*20)</f>
        <v/>
      </c>
      <c r="O16" s="27" t="str">
        <f aca="false">IF(N16="","",RANK(N16,$N$11:$N$22))</f>
        <v/>
      </c>
      <c r="P16" s="30" t="str">
        <f aca="false">IF(OR(N16="",F16=""),"",IF(AND(N16&gt;=$D$6,F16&lt;=$F$6),"Quick win",IF(AND(N16&gt;=$D$6,F16&gt;$F$6),"Big bet",IF(AND(N16&lt;$D$6,F16&lt;=$F$6),"Fill-in","Time sink"))))</f>
        <v/>
      </c>
    </row>
    <row r="17" customFormat="false" ht="25.5" hidden="false" customHeight="true" outlineLevel="0" collapsed="false">
      <c r="A17" s="20" t="n">
        <v>7</v>
      </c>
      <c r="B17" s="21"/>
      <c r="C17" s="22"/>
      <c r="D17" s="23"/>
      <c r="E17" s="24"/>
      <c r="F17" s="25"/>
      <c r="G17" s="26" t="str">
        <f aca="false">IF(OR(F17="",F17=0),"",(C17*D17*E17)/F17)</f>
        <v/>
      </c>
      <c r="H17" s="27" t="str">
        <f aca="false">IF(G17="","",RANK(G17,$G$11:$G$22))</f>
        <v/>
      </c>
      <c r="I17" s="28"/>
      <c r="J17" s="28"/>
      <c r="K17" s="28"/>
      <c r="L17" s="28"/>
      <c r="M17" s="28"/>
      <c r="N17" s="29" t="str">
        <f aca="false">IF(COUNT(I17:M17)&lt;5,"",SUMPRODUCT(I17:M17,$I$10:$M$10)*20)</f>
        <v/>
      </c>
      <c r="O17" s="27" t="str">
        <f aca="false">IF(N17="","",RANK(N17,$N$11:$N$22))</f>
        <v/>
      </c>
      <c r="P17" s="30" t="str">
        <f aca="false">IF(OR(N17="",F17=""),"",IF(AND(N17&gt;=$D$6,F17&lt;=$F$6),"Quick win",IF(AND(N17&gt;=$D$6,F17&gt;$F$6),"Big bet",IF(AND(N17&lt;$D$6,F17&lt;=$F$6),"Fill-in","Time sink"))))</f>
        <v/>
      </c>
    </row>
    <row r="18" customFormat="false" ht="25.5" hidden="false" customHeight="true" outlineLevel="0" collapsed="false">
      <c r="A18" s="20" t="n">
        <v>8</v>
      </c>
      <c r="B18" s="21"/>
      <c r="C18" s="22"/>
      <c r="D18" s="23"/>
      <c r="E18" s="24"/>
      <c r="F18" s="25"/>
      <c r="G18" s="26" t="str">
        <f aca="false">IF(OR(F18="",F18=0),"",(C18*D18*E18)/F18)</f>
        <v/>
      </c>
      <c r="H18" s="27" t="str">
        <f aca="false">IF(G18="","",RANK(G18,$G$11:$G$22))</f>
        <v/>
      </c>
      <c r="I18" s="28"/>
      <c r="J18" s="28"/>
      <c r="K18" s="28"/>
      <c r="L18" s="28"/>
      <c r="M18" s="28"/>
      <c r="N18" s="29" t="str">
        <f aca="false">IF(COUNT(I18:M18)&lt;5,"",SUMPRODUCT(I18:M18,$I$10:$M$10)*20)</f>
        <v/>
      </c>
      <c r="O18" s="27" t="str">
        <f aca="false">IF(N18="","",RANK(N18,$N$11:$N$22))</f>
        <v/>
      </c>
      <c r="P18" s="30" t="str">
        <f aca="false">IF(OR(N18="",F18=""),"",IF(AND(N18&gt;=$D$6,F18&lt;=$F$6),"Quick win",IF(AND(N18&gt;=$D$6,F18&gt;$F$6),"Big bet",IF(AND(N18&lt;$D$6,F18&lt;=$F$6),"Fill-in","Time sink"))))</f>
        <v/>
      </c>
    </row>
    <row r="19" customFormat="false" ht="25.5" hidden="false" customHeight="true" outlineLevel="0" collapsed="false">
      <c r="A19" s="20" t="n">
        <v>9</v>
      </c>
      <c r="B19" s="21"/>
      <c r="C19" s="22"/>
      <c r="D19" s="23"/>
      <c r="E19" s="24"/>
      <c r="F19" s="25"/>
      <c r="G19" s="26" t="str">
        <f aca="false">IF(OR(F19="",F19=0),"",(C19*D19*E19)/F19)</f>
        <v/>
      </c>
      <c r="H19" s="27" t="str">
        <f aca="false">IF(G19="","",RANK(G19,$G$11:$G$22))</f>
        <v/>
      </c>
      <c r="I19" s="28"/>
      <c r="J19" s="28"/>
      <c r="K19" s="28"/>
      <c r="L19" s="28"/>
      <c r="M19" s="28"/>
      <c r="N19" s="29" t="str">
        <f aca="false">IF(COUNT(I19:M19)&lt;5,"",SUMPRODUCT(I19:M19,$I$10:$M$10)*20)</f>
        <v/>
      </c>
      <c r="O19" s="27" t="str">
        <f aca="false">IF(N19="","",RANK(N19,$N$11:$N$22))</f>
        <v/>
      </c>
      <c r="P19" s="30" t="str">
        <f aca="false">IF(OR(N19="",F19=""),"",IF(AND(N19&gt;=$D$6,F19&lt;=$F$6),"Quick win",IF(AND(N19&gt;=$D$6,F19&gt;$F$6),"Big bet",IF(AND(N19&lt;$D$6,F19&lt;=$F$6),"Fill-in","Time sink"))))</f>
        <v/>
      </c>
    </row>
    <row r="20" customFormat="false" ht="25.5" hidden="false" customHeight="true" outlineLevel="0" collapsed="false">
      <c r="A20" s="20" t="n">
        <v>10</v>
      </c>
      <c r="B20" s="21"/>
      <c r="C20" s="22"/>
      <c r="D20" s="23"/>
      <c r="E20" s="24"/>
      <c r="F20" s="25"/>
      <c r="G20" s="26" t="str">
        <f aca="false">IF(OR(F20="",F20=0),"",(C20*D20*E20)/F20)</f>
        <v/>
      </c>
      <c r="H20" s="27" t="str">
        <f aca="false">IF(G20="","",RANK(G20,$G$11:$G$22))</f>
        <v/>
      </c>
      <c r="I20" s="28"/>
      <c r="J20" s="28"/>
      <c r="K20" s="28"/>
      <c r="L20" s="28"/>
      <c r="M20" s="28"/>
      <c r="N20" s="29" t="str">
        <f aca="false">IF(COUNT(I20:M20)&lt;5,"",SUMPRODUCT(I20:M20,$I$10:$M$10)*20)</f>
        <v/>
      </c>
      <c r="O20" s="27" t="str">
        <f aca="false">IF(N20="","",RANK(N20,$N$11:$N$22))</f>
        <v/>
      </c>
      <c r="P20" s="30" t="str">
        <f aca="false">IF(OR(N20="",F20=""),"",IF(AND(N20&gt;=$D$6,F20&lt;=$F$6),"Quick win",IF(AND(N20&gt;=$D$6,F20&gt;$F$6),"Big bet",IF(AND(N20&lt;$D$6,F20&lt;=$F$6),"Fill-in","Time sink"))))</f>
        <v/>
      </c>
    </row>
    <row r="21" customFormat="false" ht="25.5" hidden="false" customHeight="true" outlineLevel="0" collapsed="false">
      <c r="A21" s="20" t="n">
        <v>11</v>
      </c>
      <c r="B21" s="21"/>
      <c r="C21" s="22"/>
      <c r="D21" s="23"/>
      <c r="E21" s="24"/>
      <c r="F21" s="25"/>
      <c r="G21" s="26" t="str">
        <f aca="false">IF(OR(F21="",F21=0),"",(C21*D21*E21)/F21)</f>
        <v/>
      </c>
      <c r="H21" s="27" t="str">
        <f aca="false">IF(G21="","",RANK(G21,$G$11:$G$22))</f>
        <v/>
      </c>
      <c r="I21" s="28"/>
      <c r="J21" s="28"/>
      <c r="K21" s="28"/>
      <c r="L21" s="28"/>
      <c r="M21" s="28"/>
      <c r="N21" s="29" t="str">
        <f aca="false">IF(COUNT(I21:M21)&lt;5,"",SUMPRODUCT(I21:M21,$I$10:$M$10)*20)</f>
        <v/>
      </c>
      <c r="O21" s="27" t="str">
        <f aca="false">IF(N21="","",RANK(N21,$N$11:$N$22))</f>
        <v/>
      </c>
      <c r="P21" s="30" t="str">
        <f aca="false">IF(OR(N21="",F21=""),"",IF(AND(N21&gt;=$D$6,F21&lt;=$F$6),"Quick win",IF(AND(N21&gt;=$D$6,F21&gt;$F$6),"Big bet",IF(AND(N21&lt;$D$6,F21&lt;=$F$6),"Fill-in","Time sink"))))</f>
        <v/>
      </c>
    </row>
    <row r="22" customFormat="false" ht="25.5" hidden="false" customHeight="true" outlineLevel="0" collapsed="false">
      <c r="A22" s="20" t="n">
        <v>12</v>
      </c>
      <c r="B22" s="21"/>
      <c r="C22" s="22"/>
      <c r="D22" s="23"/>
      <c r="E22" s="24"/>
      <c r="F22" s="25"/>
      <c r="G22" s="26" t="str">
        <f aca="false">IF(OR(F22="",F22=0),"",(C22*D22*E22)/F22)</f>
        <v/>
      </c>
      <c r="H22" s="27" t="str">
        <f aca="false">IF(G22="","",RANK(G22,$G$11:$G$22))</f>
        <v/>
      </c>
      <c r="I22" s="28"/>
      <c r="J22" s="28"/>
      <c r="K22" s="28"/>
      <c r="L22" s="28"/>
      <c r="M22" s="28"/>
      <c r="N22" s="29" t="str">
        <f aca="false">IF(COUNT(I22:M22)&lt;5,"",SUMPRODUCT(I22:M22,$I$10:$M$10)*20)</f>
        <v/>
      </c>
      <c r="O22" s="27" t="str">
        <f aca="false">IF(N22="","",RANK(N22,$N$11:$N$22))</f>
        <v/>
      </c>
      <c r="P22" s="30" t="str">
        <f aca="false">IF(OR(N22="",F22=""),"",IF(AND(N22&gt;=$D$6,F22&lt;=$F$6),"Quick win",IF(AND(N22&gt;=$D$6,F22&gt;$F$6),"Big bet",IF(AND(N22&lt;$D$6,F22&lt;=$F$6),"Fill-in","Time sink"))))</f>
        <v/>
      </c>
    </row>
    <row r="24" customFormat="false" ht="15" hidden="false" customHeight="false" outlineLevel="0" collapsed="false">
      <c r="A24" s="9" t="s">
        <v>32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</sheetData>
  <mergeCells count="6">
    <mergeCell ref="A1:P1"/>
    <mergeCell ref="A2:P2"/>
    <mergeCell ref="A3:P3"/>
    <mergeCell ref="B7:P7"/>
    <mergeCell ref="B10:H10"/>
    <mergeCell ref="A24:P24"/>
  </mergeCells>
  <conditionalFormatting sqref="G11:G22">
    <cfRule type="colorScale" priority="2">
      <colorScale>
        <cfvo type="min" val="0"/>
        <cfvo type="max" val="0"/>
        <color rgb="FFFFFFFF"/>
        <color rgb="FFFBDFD0"/>
      </colorScale>
    </cfRule>
  </conditionalFormatting>
  <conditionalFormatting sqref="N11:N22">
    <cfRule type="colorScale" priority="3">
      <colorScale>
        <cfvo type="min" val="0"/>
        <cfvo type="max" val="0"/>
        <color rgb="FFFFFFFF"/>
        <color rgb="FFFBDFD0"/>
      </colorScale>
    </cfRule>
  </conditionalFormatting>
  <conditionalFormatting sqref="P11:P22">
    <cfRule type="expression" priority="4" aboveAverage="0" equalAverage="0" bottom="0" percent="0" rank="0" text="" dxfId="0">
      <formula>$P11="Quick win"</formula>
    </cfRule>
    <cfRule type="expression" priority="5" aboveAverage="0" equalAverage="0" bottom="0" percent="0" rank="0" text="" dxfId="1">
      <formula>$P11="Big bet"</formula>
    </cfRule>
    <cfRule type="expression" priority="6" aboveAverage="0" equalAverage="0" bottom="0" percent="0" rank="0" text="" dxfId="2">
      <formula>$P11="Fill-in"</formula>
    </cfRule>
    <cfRule type="expression" priority="7" aboveAverage="0" equalAverage="0" bottom="0" percent="0" rank="0" text="" dxfId="3">
      <formula>$P11="Time sink"</formula>
    </cfRule>
  </conditionalFormatting>
  <dataValidations count="3">
    <dataValidation allowBlank="true" errorStyle="stop" operator="between" showDropDown="false" showErrorMessage="false" showInputMessage="false" sqref="D11:D22" type="list">
      <formula1>"3,2,1,0.5,0.25"</formula1>
      <formula2>0</formula2>
    </dataValidation>
    <dataValidation allowBlank="true" errorStyle="stop" operator="between" showDropDown="false" showErrorMessage="false" showInputMessage="false" sqref="E11:E22" type="list">
      <formula1>"1,0.8,0.5,0.25"</formula1>
      <formula2>0</formula2>
    </dataValidation>
    <dataValidation allowBlank="true" errorStyle="stop" operator="between" showDropDown="false" showErrorMessage="false" showInputMessage="false" sqref="I11:M2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2026-06-18T03:23:42Z</dcterms:created>
  <dc:creator>openpyxl</dc:creator>
  <dc:description/>
  <dc:language>en-US</dc:language>
  <cp:lastModifiedBy/>
  <dcterms:modified xsi:type="dcterms:W3CDTF">2026-06-18T14:30:44Z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